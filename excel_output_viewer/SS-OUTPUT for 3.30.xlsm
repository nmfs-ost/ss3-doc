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2.xml" ContentType="application/vnd.openxmlformats-officedocument.drawing+xml"/>
  <Override PartName="/xl/ctrlProps/ctrlProp6.xml" ContentType="application/vnd.ms-excel.controlproperties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drawings/drawing14.xml" ContentType="application/vnd.openxmlformats-officedocument.drawing+xml"/>
  <Override PartName="/xl/ctrlProps/ctrlProp7.xml" ContentType="application/vnd.ms-excel.controlproperties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drawings/drawing17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rd.Methot\Documents\SS_Model\Helper_Sheets\"/>
    </mc:Choice>
  </mc:AlternateContent>
  <bookViews>
    <workbookView xWindow="120" yWindow="180" windowWidth="13470" windowHeight="8835" firstSheet="2" activeTab="2"/>
  </bookViews>
  <sheets>
    <sheet name="CompReport_SSO" sheetId="3" r:id="rId1"/>
    <sheet name="REPORT_SSO" sheetId="2" r:id="rId2"/>
    <sheet name="Main" sheetId="5" r:id="rId3"/>
    <sheet name="SRR" sheetId="17" r:id="rId4"/>
    <sheet name="SURVEY" sheetId="9" r:id="rId5"/>
    <sheet name="Discard" sheetId="14" r:id="rId6"/>
    <sheet name="StdErr" sheetId="6" r:id="rId7"/>
    <sheet name="Time_Series" sheetId="16" r:id="rId8"/>
    <sheet name="Annual" sheetId="18" r:id="rId9"/>
    <sheet name="Comp_Disp" sheetId="4" r:id="rId10"/>
    <sheet name="BIO" sheetId="8" r:id="rId11"/>
    <sheet name="Len_Sel_A" sheetId="12" r:id="rId12"/>
    <sheet name="Len_Sel_D" sheetId="10" r:id="rId13"/>
    <sheet name="Age_Sel_A" sheetId="13" r:id="rId14"/>
    <sheet name="Age_Sel_D" sheetId="11" r:id="rId15"/>
    <sheet name="BODYWT" sheetId="15" r:id="rId16"/>
    <sheet name="Annual_F" sheetId="19" r:id="rId17"/>
  </sheets>
  <definedNames>
    <definedName name="_xlnm._FilterDatabase" localSheetId="13" hidden="1">Age_Sel_A!$A$4:$D$7</definedName>
    <definedName name="_xlnm._FilterDatabase" localSheetId="14" hidden="1">Age_Sel_D!$A$2:$F$6</definedName>
    <definedName name="_xlnm._FilterDatabase" localSheetId="16" hidden="1">Annual_F!$D$5:$F$7</definedName>
    <definedName name="_xlnm._FilterDatabase" localSheetId="10" hidden="1">BIO!$C$37:$L$40</definedName>
    <definedName name="_xlnm._FilterDatabase" localSheetId="15" hidden="1">BODYWT!$A$4:$D$5</definedName>
    <definedName name="_xlnm._FilterDatabase" localSheetId="9" hidden="1">Comp_Disp!$A$4:$Q$29</definedName>
    <definedName name="_xlnm._FilterDatabase" localSheetId="0" hidden="1">CompReport_SSO!#REF!</definedName>
    <definedName name="_xlnm._FilterDatabase" localSheetId="5" hidden="1">Discard!$A$4:$D$7</definedName>
    <definedName name="_xlnm._FilterDatabase" localSheetId="11" hidden="1">Len_Sel_A!$A$6:$D$7</definedName>
    <definedName name="_xlnm._FilterDatabase" localSheetId="12" hidden="1">Len_Sel_D!$A$2:$D$4</definedName>
    <definedName name="_xlnm._FilterDatabase" localSheetId="1" hidden="1">REPORT_SSO!#REF!</definedName>
    <definedName name="_xlnm._FilterDatabase" localSheetId="4" hidden="1">SURVEY!$A$4:$F$6</definedName>
    <definedName name="_xlnm._FilterDatabase" localSheetId="7" hidden="1">Time_Series!$A$2:$D$5</definedName>
    <definedName name="ACV_Mid" localSheetId="10">BIO!$B$38:$B$40</definedName>
    <definedName name="Age_Beg" localSheetId="10">BIO!$K$38:$K$40</definedName>
    <definedName name="Age_Mid" localSheetId="10">BIO!$L$38:$L$40</definedName>
    <definedName name="AgeSelex_Raw">Age_Sel_A!$A$1</definedName>
    <definedName name="Apical_F" localSheetId="16">Annual_F!$A$6:$A$7</definedName>
    <definedName name="Ave_F" localSheetId="16">Annual_F!$C$6:$C$7</definedName>
    <definedName name="Bin" localSheetId="9">Comp_Disp!$P$5:$P$29</definedName>
    <definedName name="Bio_smry" localSheetId="8">Annual!$O$9:$O$10</definedName>
    <definedName name="Bio_smry" localSheetId="7">Time_Series!$F$3:$F$5</definedName>
    <definedName name="CompReport" localSheetId="0">CompReport_SSO!$A$4:$AR$29</definedName>
    <definedName name="Cum_exp" localSheetId="9">Comp_Disp!$Y$5:$Y$29</definedName>
    <definedName name="Cum_obs" localSheetId="9">Comp_Disp!$X$5:$X$29</definedName>
    <definedName name="Dead_Catch" localSheetId="8">Annual!$Q$9:$Q$10</definedName>
    <definedName name="delete_OBS" localSheetId="15">BODYWT!$P$5:$P$5</definedName>
    <definedName name="delete_OBS" localSheetId="5">Discard!$V$5:$V$7</definedName>
    <definedName name="delete_OBS" localSheetId="4">SURVEY!$V$5:$V$6</definedName>
    <definedName name="Eff_Q" localSheetId="4">SURVEY!$L$5:$L$6</definedName>
    <definedName name="Exp" localSheetId="15">BODYWT!$H$5:$H$5</definedName>
    <definedName name="Exp" localSheetId="9">Comp_Disp!$R$5:$R$29</definedName>
    <definedName name="Exp" localSheetId="5">Discard!$I$5:$I$7</definedName>
    <definedName name="Exp" localSheetId="4">SURVEY!$W$5:$W$6</definedName>
    <definedName name="F_std" localSheetId="8">Annual!$L$9:$L$10</definedName>
    <definedName name="Len_Beg" localSheetId="10">BIO!$N$38:$N$40</definedName>
    <definedName name="Len_Mid" localSheetId="10">BIO!$O$38:$O$40</definedName>
    <definedName name="LenSelexArea">Len_Sel_D!$D$6:$V$7</definedName>
    <definedName name="Like" localSheetId="9">Comp_Disp!$W$5:$W$29</definedName>
    <definedName name="Main_List">Main!$N$3</definedName>
    <definedName name="Mat_Fec" localSheetId="10">BIO!$V$38:$V$40</definedName>
    <definedName name="OBS" localSheetId="15">BODYWT!$Q$5:$Q$5</definedName>
    <definedName name="Obs" localSheetId="9">Comp_Disp!$Q$5:$Q$29</definedName>
    <definedName name="OBS" localSheetId="5">Discard!$W$5:$W$7</definedName>
    <definedName name="OBS" localSheetId="4">SURVEY!$X$5:$X$6</definedName>
    <definedName name="Pearson" localSheetId="9">Comp_Disp!$S$5:$S$29</definedName>
    <definedName name="put_agecomp">Comp_Disp!$A$4</definedName>
    <definedName name="put_ageselex">Age_Sel_D!$A$2</definedName>
    <definedName name="Put_Annual">Annual!$A$8</definedName>
    <definedName name="put_biology">BIO!$C$37</definedName>
    <definedName name="put_selex">Len_Sel_D!$A$2</definedName>
    <definedName name="put_survey">SURVEY!$A$5</definedName>
    <definedName name="Recruit_0" localSheetId="7">Time_Series!$H$3:$H$5</definedName>
    <definedName name="Recruits" localSheetId="8">Annual!$T$9:$T$10</definedName>
    <definedName name="Report_1" localSheetId="1">REPORT_SSO!$A$1:$BI$6172</definedName>
    <definedName name="SD_Beg" localSheetId="10">BIO!$P$38:$P$40</definedName>
    <definedName name="SD_Mid" localSheetId="10">BIO!$Q$38:$Q$40</definedName>
    <definedName name="se2_hi" localSheetId="15">BODYWT!$S$5:$S$5</definedName>
    <definedName name="se2_hi" localSheetId="5">Discard!$Y$5:$Y$7</definedName>
    <definedName name="se2_hi" localSheetId="4">SURVEY!$Z$5:$Z$6</definedName>
    <definedName name="se2_low" localSheetId="15">BODYWT!$R$5:$R$5</definedName>
    <definedName name="se2_low" localSheetId="5">Discard!$X$5:$X$7</definedName>
    <definedName name="se2_low" localSheetId="4">SURVEY!$Y$5:$Y$6</definedName>
    <definedName name="SpawnBio" localSheetId="7">Time_Series!$G$3:$G$5</definedName>
    <definedName name="SPB" localSheetId="8">Annual!$S$9:$S$10</definedName>
    <definedName name="SPR_std" localSheetId="8">Annual!$H$9:$H$10</definedName>
    <definedName name="Time" localSheetId="9">Comp_Disp!$E$5:$E$29</definedName>
    <definedName name="Wt_Beg" localSheetId="10">BIO!$R$38:$R$40</definedName>
    <definedName name="Year" localSheetId="8">Annual!$A$9:$A$10</definedName>
    <definedName name="Year" localSheetId="16">Annual_F!$F$6:$F$7</definedName>
    <definedName name="Yr" localSheetId="15">BODYWT!$E$5:$E$5</definedName>
    <definedName name="Yr" localSheetId="9">Comp_Disp!$A$5:$A$29</definedName>
    <definedName name="Yr" localSheetId="5">Discard!$G$5:$G$7</definedName>
    <definedName name="Yr" localSheetId="4">SURVEY!$U$5:$U$6</definedName>
    <definedName name="Yr" localSheetId="7">Time_Series!$B$3:$B$5</definedName>
  </definedNames>
  <calcPr calcId="162913"/>
  <fileRecoveryPr repairLoad="1"/>
</workbook>
</file>

<file path=xl/calcChain.xml><?xml version="1.0" encoding="utf-8"?>
<calcChain xmlns="http://schemas.openxmlformats.org/spreadsheetml/2006/main">
  <c r="S5" i="15" l="1"/>
  <c r="R5" i="15"/>
  <c r="Q5" i="15"/>
  <c r="P5" i="15"/>
  <c r="Y7" i="14"/>
  <c r="X7" i="14"/>
  <c r="W7" i="14"/>
  <c r="V7" i="14"/>
  <c r="Y6" i="14"/>
  <c r="X6" i="14"/>
  <c r="W6" i="14"/>
  <c r="V6" i="14"/>
  <c r="Y5" i="14"/>
  <c r="X5" i="14"/>
  <c r="W5" i="14"/>
  <c r="V5" i="14"/>
  <c r="Z6" i="9"/>
  <c r="Y6" i="9"/>
  <c r="X6" i="9"/>
  <c r="W6" i="9"/>
  <c r="V6" i="9"/>
  <c r="U6" i="9"/>
  <c r="Z5" i="9"/>
  <c r="Y5" i="9"/>
  <c r="X5" i="9"/>
  <c r="W5" i="9"/>
  <c r="V5" i="9"/>
  <c r="U5" i="9"/>
  <c r="B40" i="8"/>
  <c r="A40" i="8"/>
  <c r="B39" i="8"/>
  <c r="A39" i="8"/>
  <c r="B38" i="8"/>
  <c r="A38" i="8"/>
  <c r="Z3" i="9"/>
  <c r="Y3" i="9"/>
  <c r="W3" i="9" l="1"/>
  <c r="V3" i="9"/>
  <c r="X3" i="9"/>
  <c r="Y3" i="14" l="1"/>
  <c r="X3" i="14"/>
  <c r="V3" i="14"/>
  <c r="W3" i="14"/>
  <c r="U3" i="9" l="1"/>
  <c r="B36" i="8" l="1"/>
  <c r="A36" i="8"/>
  <c r="S3" i="15" l="1"/>
  <c r="R3" i="15"/>
  <c r="Q3" i="15"/>
  <c r="P3" i="15"/>
  <c r="B2" i="4" l="1"/>
</calcChain>
</file>

<file path=xl/comments1.xml><?xml version="1.0" encoding="utf-8"?>
<comments xmlns="http://schemas.openxmlformats.org/spreadsheetml/2006/main">
  <authors>
    <author>richard methot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Ave_F calculated for ages MinAge to MaxAge</t>
        </r>
      </text>
    </comment>
  </commentList>
</comments>
</file>

<file path=xl/connections.xml><?xml version="1.0" encoding="utf-8"?>
<connections xmlns="http://schemas.openxmlformats.org/spreadsheetml/2006/main">
  <connection id="1" name="CompReport" type="6" refreshedVersion="6" background="1" saveData="1">
    <textPr codePage="437" sourceFile="C:\Users\Richard.Methot\Documents\SS_Model\SS_testing\Test_3.30.19\remove_IF\Simple\CompReport.sso" tab="0" space="1" consecutive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port" type="6" refreshedVersion="3" background="1" saveData="1">
    <textPr codePage="437" sourceFile="C:\SS2\SS3_Examples\Ver303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Report1" type="6" refreshedVersion="6" background="1" saveData="1">
    <textPr codePage="437" sourceFile="C:\Users\Richard.Methot\Documents\SS_Model\SS_testing\Test_3.30.19\remove_IF\Simple\Report.sso" space="1" consecutive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<sst xmlns="http://schemas.openxmlformats.org/spreadsheetml/2006/main" count="439" uniqueCount="268">
  <si>
    <t>Fleet</t>
  </si>
  <si>
    <t>Seas</t>
  </si>
  <si>
    <t>Yr</t>
  </si>
  <si>
    <t>Obs</t>
  </si>
  <si>
    <t>Exp</t>
  </si>
  <si>
    <t>Like</t>
  </si>
  <si>
    <t>N</t>
  </si>
  <si>
    <t>effN</t>
  </si>
  <si>
    <t>Ageerr</t>
  </si>
  <si>
    <t>Lbin_lo</t>
  </si>
  <si>
    <t>Lbin_hi</t>
  </si>
  <si>
    <t>Bin</t>
  </si>
  <si>
    <t>Kind</t>
  </si>
  <si>
    <t>Part</t>
  </si>
  <si>
    <t>Pearson</t>
  </si>
  <si>
    <t>Cum_exp</t>
  </si>
  <si>
    <t>Scal-Trawl</t>
  </si>
  <si>
    <t>Len</t>
  </si>
  <si>
    <t>MF</t>
  </si>
  <si>
    <t>Step 2:  Parse Report (cuts from sheet Report_SSO and moves to working sheets)</t>
  </si>
  <si>
    <t>Morph</t>
  </si>
  <si>
    <t>Vuln_bio</t>
  </si>
  <si>
    <t>Eff_Q</t>
  </si>
  <si>
    <t>SE</t>
  </si>
  <si>
    <t>Dev</t>
  </si>
  <si>
    <t>Like+log(s)</t>
  </si>
  <si>
    <t>Bio_Pattern</t>
  </si>
  <si>
    <t>Age_Beg</t>
  </si>
  <si>
    <t>Age_Mid</t>
  </si>
  <si>
    <t>M</t>
  </si>
  <si>
    <t>Len_Beg</t>
  </si>
  <si>
    <t>Len_Mid</t>
  </si>
  <si>
    <t>SD_Beg</t>
  </si>
  <si>
    <t>SD_Mid</t>
  </si>
  <si>
    <t>Wt_Beg</t>
  </si>
  <si>
    <t>Wt_Mid</t>
  </si>
  <si>
    <t>Len_Mat</t>
  </si>
  <si>
    <t>Age_Mat</t>
  </si>
  <si>
    <t>Mat*Fecund</t>
  </si>
  <si>
    <t>Len:_1</t>
  </si>
  <si>
    <t>SelWt:_1</t>
  </si>
  <si>
    <t>RetWt:_1</t>
  </si>
  <si>
    <t>Len:_2</t>
  </si>
  <si>
    <t>SelWt:_2</t>
  </si>
  <si>
    <t>RetWt:_2</t>
  </si>
  <si>
    <t>Len:_3</t>
  </si>
  <si>
    <t>SelWt:_3</t>
  </si>
  <si>
    <t>RetWt:_3</t>
  </si>
  <si>
    <t>Length:</t>
  </si>
  <si>
    <t>Len_mid:</t>
  </si>
  <si>
    <t>Method_for_Lbin_definition_for_agecomp_data:</t>
  </si>
  <si>
    <t>RetWt:_4</t>
  </si>
  <si>
    <t>SelWt:_5</t>
  </si>
  <si>
    <t>RetWt:_5</t>
  </si>
  <si>
    <t>RetWt:_6</t>
  </si>
  <si>
    <t>Len:_7</t>
  </si>
  <si>
    <t>SelWt:_7</t>
  </si>
  <si>
    <t>RetWt:_7</t>
  </si>
  <si>
    <t>RetWt:_8</t>
  </si>
  <si>
    <t>SURVEY</t>
  </si>
  <si>
    <t>OBS</t>
  </si>
  <si>
    <t>Len:_9</t>
  </si>
  <si>
    <t>SelWt:_9</t>
  </si>
  <si>
    <t>RetWt:_9</t>
  </si>
  <si>
    <t>Len:_10</t>
  </si>
  <si>
    <t>SelWt:_10</t>
  </si>
  <si>
    <t>RetWt:_10</t>
  </si>
  <si>
    <t>SelWt:_12</t>
  </si>
  <si>
    <t>RetWt:_12</t>
  </si>
  <si>
    <t>Len:_13</t>
  </si>
  <si>
    <t>SelWt:_13</t>
  </si>
  <si>
    <t>RetWt:_13</t>
  </si>
  <si>
    <t>Len:_14</t>
  </si>
  <si>
    <t>SelWt:_14</t>
  </si>
  <si>
    <t>RetWt:_14</t>
  </si>
  <si>
    <t>Pop_Bin:</t>
  </si>
  <si>
    <t>Data_Bin:</t>
  </si>
  <si>
    <t>Cum_obs</t>
  </si>
  <si>
    <t>Lsel</t>
  </si>
  <si>
    <t>Factor</t>
  </si>
  <si>
    <t>Asel</t>
  </si>
  <si>
    <t>On that sheet, you can filter to select up to 32000 rows to be copied to sheet "Comp_Disp"  for interactive filtering and display</t>
  </si>
  <si>
    <t>Selectivity and related vectors are copied to Age_Sel_A and Len_Sel_A</t>
  </si>
  <si>
    <t>From those two sheets, subsets can be filtered and copied to Age_Sel_D and Len_Sel_D for interactive filtering and display</t>
  </si>
  <si>
    <t>All composition data are on sheet CompReport.SSO</t>
  </si>
  <si>
    <t>se2_low</t>
  </si>
  <si>
    <t>se2_hi</t>
  </si>
  <si>
    <t>delete_OBS</t>
  </si>
  <si>
    <t>StartTime:</t>
  </si>
  <si>
    <t>_</t>
  </si>
  <si>
    <t>Area</t>
  </si>
  <si>
    <t>Era</t>
  </si>
  <si>
    <t>Bio_all</t>
  </si>
  <si>
    <t>Bio_smry</t>
  </si>
  <si>
    <t>SpawnBio</t>
  </si>
  <si>
    <t>Recruit_0</t>
  </si>
  <si>
    <t>VIRG</t>
  </si>
  <si>
    <t>#</t>
  </si>
  <si>
    <t>Bio_Smry</t>
  </si>
  <si>
    <t>SPR</t>
  </si>
  <si>
    <t>GenTime</t>
  </si>
  <si>
    <t>Deplete</t>
  </si>
  <si>
    <t>Actual:</t>
  </si>
  <si>
    <t>Enc_Catch</t>
  </si>
  <si>
    <t>Dead_Catch</t>
  </si>
  <si>
    <t>Retain_Catch</t>
  </si>
  <si>
    <t>&amp;</t>
  </si>
  <si>
    <t>Ln(R0)</t>
  </si>
  <si>
    <t>exp_recr</t>
  </si>
  <si>
    <t>pred_recr</t>
  </si>
  <si>
    <t>dev</t>
  </si>
  <si>
    <t>era</t>
  </si>
  <si>
    <t>S/Rcurve</t>
  </si>
  <si>
    <t>Virg</t>
  </si>
  <si>
    <t>-</t>
  </si>
  <si>
    <t>Step 3:  Refresh Data (you'll be prompted to navigate to directory containing COMPREPORT.SSO)</t>
  </si>
  <si>
    <t>Step 1:  Refresh Data (you'll be prompted to navigate to directory containing REPORT.SSO)</t>
  </si>
  <si>
    <t>To reduce size of the file if it needs to get saved</t>
  </si>
  <si>
    <t>Apical_F</t>
  </si>
  <si>
    <t>Ave_F</t>
  </si>
  <si>
    <t>Apical_Age</t>
  </si>
  <si>
    <t>MinAge:</t>
  </si>
  <si>
    <t>MaxAge:</t>
  </si>
  <si>
    <t>Calc_Q</t>
  </si>
  <si>
    <t>With_MeanSel_From:</t>
  </si>
  <si>
    <t>BIOLOGY</t>
  </si>
  <si>
    <t>A</t>
  </si>
  <si>
    <t>sigmaR</t>
  </si>
  <si>
    <t>main_recdev:start_end</t>
  </si>
  <si>
    <t>breakpoints_for_bias_adjustment_ramp</t>
  </si>
  <si>
    <t>ERA</t>
  </si>
  <si>
    <t>RMSE</t>
  </si>
  <si>
    <t>mean_BiasAdj</t>
  </si>
  <si>
    <t>main</t>
  </si>
  <si>
    <t>early</t>
  </si>
  <si>
    <t>Num_Smry</t>
  </si>
  <si>
    <t>Len:_5</t>
  </si>
  <si>
    <t>Discard</t>
  </si>
  <si>
    <t>AgeSelex_Display</t>
  </si>
  <si>
    <t>AgeSelex_Raw</t>
  </si>
  <si>
    <t>Main_List</t>
  </si>
  <si>
    <t>Return to Main</t>
  </si>
  <si>
    <t>Report_SSO</t>
  </si>
  <si>
    <t>LenSelex_Raw</t>
  </si>
  <si>
    <t>LenSelex_Display</t>
  </si>
  <si>
    <t>Time_Series_Detail</t>
  </si>
  <si>
    <t>TimeSeries_Annual</t>
  </si>
  <si>
    <t>Spawn_Recruit</t>
  </si>
  <si>
    <t>SURVEY_CPUE</t>
  </si>
  <si>
    <t>Composition_Raw</t>
  </si>
  <si>
    <t>Composition_Display</t>
  </si>
  <si>
    <t>BODYWT</t>
  </si>
  <si>
    <t>Annual_F</t>
  </si>
  <si>
    <t>RMSE^2/sigmaR^2</t>
  </si>
  <si>
    <t>Used?</t>
  </si>
  <si>
    <t>SuprPer</t>
  </si>
  <si>
    <t>Size_Bins_pop;_(Pop_len_mid_used_for_calc_of_selex_and_bio_quantities)</t>
  </si>
  <si>
    <t>Size_Bins_dat;_(Data_len_mid_for_reporting_only)</t>
  </si>
  <si>
    <t>For_Tag_output,_Rep_contains_Tag_Group,_Bin_is_fleet_for_TAG1_and_Bin_is_Year.Seas_for_TAG2</t>
  </si>
  <si>
    <t>Column_Super?_indicates_super-periods;_column_used_indicates_inclusion_in_logL</t>
  </si>
  <si>
    <t>LEN</t>
  </si>
  <si>
    <t>Then save file, reopen but do not reestablish dataconnections, then save.  This will save a very small file.</t>
  </si>
  <si>
    <t>type ctl-m to return here</t>
  </si>
  <si>
    <t>NOTE:  You do not need to activate "Data Connections"</t>
  </si>
  <si>
    <t>Len:_12</t>
  </si>
  <si>
    <t>Use</t>
  </si>
  <si>
    <t>MnAge_Smry</t>
  </si>
  <si>
    <t>Bmsy/Bzero</t>
  </si>
  <si>
    <t>Len:_4</t>
  </si>
  <si>
    <t>SelWt:_4</t>
  </si>
  <si>
    <t>Len:_6</t>
  </si>
  <si>
    <t>SelWt:_6</t>
  </si>
  <si>
    <t>Platoon</t>
  </si>
  <si>
    <t>Settlement</t>
  </si>
  <si>
    <t>int_Age</t>
  </si>
  <si>
    <t>Real_Age</t>
  </si>
  <si>
    <t>Label</t>
  </si>
  <si>
    <t>Sex</t>
  </si>
  <si>
    <t>in</t>
  </si>
  <si>
    <t>F_report</t>
  </si>
  <si>
    <t>SSBzero</t>
  </si>
  <si>
    <t>SSBfished</t>
  </si>
  <si>
    <t>SSBfished/R</t>
  </si>
  <si>
    <t>SPR_report</t>
  </si>
  <si>
    <t>YPR</t>
  </si>
  <si>
    <t>0/1</t>
  </si>
  <si>
    <t>to</t>
  </si>
  <si>
    <t>use</t>
  </si>
  <si>
    <t>steepness</t>
  </si>
  <si>
    <t>initial</t>
  </si>
  <si>
    <t>equ</t>
  </si>
  <si>
    <t>with_regime</t>
  </si>
  <si>
    <t>bias_adjusted</t>
  </si>
  <si>
    <t>biasadjuster</t>
  </si>
  <si>
    <t>Month</t>
  </si>
  <si>
    <t>Time</t>
  </si>
  <si>
    <t>Mat_F_wtatage</t>
  </si>
  <si>
    <t>Mat_F_Natage</t>
  </si>
  <si>
    <t>Len:_8</t>
  </si>
  <si>
    <t>SelWt:_8</t>
  </si>
  <si>
    <t>Combine_males_with_females_thru_sizedata_bin</t>
  </si>
  <si>
    <t>Combine_males_with_females_thru_Age_Data_bin:</t>
  </si>
  <si>
    <t>Subseas</t>
  </si>
  <si>
    <t>Repl.</t>
  </si>
  <si>
    <t>Sexes</t>
  </si>
  <si>
    <t>init_eq:</t>
  </si>
  <si>
    <t>see</t>
  </si>
  <si>
    <t>below</t>
  </si>
  <si>
    <t>FIT_LEN_COMPS</t>
  </si>
  <si>
    <t>SelWt:_11</t>
  </si>
  <si>
    <t>RetWt:_11</t>
  </si>
  <si>
    <t>Fleet_name</t>
  </si>
  <si>
    <t>INIT</t>
  </si>
  <si>
    <t>TIME</t>
  </si>
  <si>
    <t>End_comp_data</t>
  </si>
  <si>
    <t>N_adj</t>
  </si>
  <si>
    <t>N_input</t>
  </si>
  <si>
    <t>For_Sizefreq;_Lbin_Lo_is_units(bio_or_numbers);_Lbin_hi_is_scale(kg,_lb,_cm,_in),_Ageerr_is_method</t>
  </si>
  <si>
    <t>For_mean_size_at_age,_the_sign_of_ageerror_indicates_length(positive),_or_weight(negative)</t>
  </si>
  <si>
    <t>For_mean_size_at_age,_the_std_dev_of_size_at_age_is_stored_in_LbinLo_ans_LbinHi_is_ignored</t>
  </si>
  <si>
    <t>subseas_is_derived_from_month_and_the_number_of_subseasons_per_season,_which_is:</t>
  </si>
  <si>
    <t>Time_is_fraction_of_year_based_on_subseas,_not_directly_on_month</t>
  </si>
  <si>
    <t>If_observations_with_same_or_different_month_value_are_assigned_to_the_same_subseas,_then_repli(cate)_counter_is_incremented</t>
  </si>
  <si>
    <t>SE_input</t>
  </si>
  <si>
    <t>Composition_Database</t>
  </si>
  <si>
    <t>Nsamp_adj</t>
  </si>
  <si>
    <t>Nsamp_in</t>
  </si>
  <si>
    <t>INDEX_1</t>
  </si>
  <si>
    <t>report:21</t>
  </si>
  <si>
    <t>summary</t>
  </si>
  <si>
    <t>INDEX_2</t>
  </si>
  <si>
    <t>report:22</t>
  </si>
  <si>
    <t>annual</t>
  </si>
  <si>
    <t>INDEX_3</t>
  </si>
  <si>
    <t>report:23</t>
  </si>
  <si>
    <t>Qparms</t>
  </si>
  <si>
    <t>report:27</t>
  </si>
  <si>
    <t>List_Tables_related_to_selectivity_and_discard</t>
  </si>
  <si>
    <t>est_rho</t>
  </si>
  <si>
    <t>Init</t>
  </si>
  <si>
    <t>recruitment</t>
  </si>
  <si>
    <t>calculation</t>
  </si>
  <si>
    <t>Durbin-Watson</t>
  </si>
  <si>
    <t>mature_bio</t>
  </si>
  <si>
    <t>mature_num</t>
  </si>
  <si>
    <t>raw_dev</t>
  </si>
  <si>
    <t>2019;</t>
  </si>
  <si>
    <t>Ignore</t>
  </si>
  <si>
    <t>Year_styr-3_(1965)_stores_average_used_for_benchmark</t>
  </si>
  <si>
    <t>2022;_Stock_Synthesis_by_Richard_Methot_(NOAA)_using_ADMB_12.3</t>
  </si>
  <si>
    <t>Updated:  Jan 2022 for 3.30.19</t>
  </si>
  <si>
    <t>1960_2_Lsel</t>
  </si>
  <si>
    <t>sex_ratio</t>
  </si>
  <si>
    <t>1968_1Asel</t>
  </si>
  <si>
    <t>1968_2Asel</t>
  </si>
  <si>
    <t>1968_3Asel</t>
  </si>
  <si>
    <t>1968_4Asel</t>
  </si>
  <si>
    <t>#V3.30.xx.yy;_safe;_compile_date:_Feb</t>
  </si>
  <si>
    <t>Wed</t>
  </si>
  <si>
    <t>Feb</t>
  </si>
  <si>
    <t>SURVEY1</t>
  </si>
  <si>
    <t>1968_1_Lsel</t>
  </si>
  <si>
    <t>1971_1Asel</t>
  </si>
  <si>
    <t>0.0002801760.5</t>
  </si>
  <si>
    <t>0.001806740.500024</t>
  </si>
  <si>
    <t>0.009122490.50018</t>
  </si>
  <si>
    <t>2019_2_Lsel</t>
  </si>
  <si>
    <t xml:space="preserve">Nrows: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</si>
</sst>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0" xfId="1"/>
    <xf numFmtId="0" fontId="0" fillId="0" borderId="0" xfId="0" applyFont="1" applyFill="1"/>
    <xf numFmtId="11" fontId="1" fillId="0" borderId="0" xfId="1" applyNumberFormat="1"/>
    <xf numFmtId="0" fontId="1" fillId="3" borderId="0" xfId="1" applyFill="1"/>
    <xf numFmtId="0" fontId="1" fillId="0" borderId="0" xfId="1" applyAlignment="1">
      <alignment horizontal="right"/>
    </xf>
    <xf numFmtId="0" fontId="1" fillId="2" borderId="0" xfId="1" applyFill="1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2" applyAlignment="1" applyProtection="1"/>
    <xf numFmtId="0" fontId="5" fillId="0" borderId="0" xfId="0" applyFont="1" applyFill="1"/>
    <xf numFmtId="0" fontId="4" fillId="0" borderId="0" xfId="2" applyAlignment="1" applyProtection="1">
      <alignment vertical="center"/>
    </xf>
    <xf numFmtId="0" fontId="0" fillId="0" borderId="0" xfId="0" applyNumberFormat="1"/>
    <xf numFmtId="0" fontId="6" fillId="0" borderId="0" xfId="0" applyFont="1"/>
    <xf numFmtId="0" fontId="2" fillId="0" borderId="0" xfId="0" applyFont="1"/>
    <xf numFmtId="0" fontId="7" fillId="5" borderId="0" xfId="0" applyFont="1" applyFill="1"/>
    <xf numFmtId="0" fontId="1" fillId="0" borderId="0" xfId="1" applyNumberFormat="1"/>
    <xf numFmtId="0" fontId="4" fillId="0" borderId="0" xfId="2" applyNumberFormat="1" applyAlignment="1" applyProtection="1">
      <alignment vertical="center"/>
    </xf>
    <xf numFmtId="11" fontId="1" fillId="2" borderId="0" xfId="1" applyNumberFormat="1" applyFill="1"/>
    <xf numFmtId="0" fontId="0" fillId="0" borderId="2" xfId="0" applyNumberFormat="1" applyBorder="1"/>
    <xf numFmtId="0" fontId="0" fillId="0" borderId="3" xfId="0" applyNumberFormat="1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REPORT_SSO!#REF!</c:f>
            </c:numRef>
          </c:xVal>
          <c:yVal>
            <c:numRef>
              <c:f>REPORT_SSO!#REF!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8-493C-AE31-B42C4767C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684880"/>
        <c:axId val="1320687176"/>
      </c:scatterChart>
      <c:valAx>
        <c:axId val="1320684880"/>
        <c:scaling>
          <c:orientation val="minMax"/>
          <c:max val="2020"/>
          <c:min val="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687176"/>
        <c:crosses val="autoZero"/>
        <c:crossBetween val="midCat"/>
      </c:valAx>
      <c:valAx>
        <c:axId val="13206871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at age_0.625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68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49909.7</c:v>
                </c:pt>
                <c:pt idx="1">
                  <c:v>49909.7</c:v>
                </c:pt>
              </c:numCache>
            </c:numRef>
          </c:xVal>
          <c:yVal>
            <c:numRef>
              <c:f>SRR!$C$16:$C$17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3-4606-AD3D-F32863E26927}"/>
            </c:ext>
          </c:extLst>
        </c:ser>
        <c:ser>
          <c:idx val="1"/>
          <c:order val="1"/>
          <c:tx>
            <c:strRef>
              <c:f>SRR!$D$14</c:f>
              <c:strCache>
                <c:ptCount val="1"/>
                <c:pt idx="0">
                  <c:v>with_regime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49909.7</c:v>
                </c:pt>
                <c:pt idx="1">
                  <c:v>49909.7</c:v>
                </c:pt>
              </c:numCache>
            </c:numRef>
          </c:xVal>
          <c:yVal>
            <c:numRef>
              <c:f>SRR!$D$16:$D$17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C-4BA4-91DD-F674D9607738}"/>
            </c:ext>
          </c:extLst>
        </c:ser>
        <c:ser>
          <c:idx val="2"/>
          <c:order val="2"/>
          <c:tx>
            <c:strRef>
              <c:f>SRR!$E$14</c:f>
              <c:strCache>
                <c:ptCount val="1"/>
                <c:pt idx="0">
                  <c:v>bias_adjusted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49909.7</c:v>
                </c:pt>
                <c:pt idx="1">
                  <c:v>49909.7</c:v>
                </c:pt>
              </c:numCache>
            </c:numRef>
          </c:xVal>
          <c:yVal>
            <c:numRef>
              <c:f>SRR!$E$16:$E$17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C-4BA4-91DD-F674D9607738}"/>
            </c:ext>
          </c:extLst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>
              <a:solidFill>
                <a:schemeClr val="accent1"/>
              </a:solidFill>
              <a:prstDash val="sysDot"/>
            </a:ln>
          </c:spPr>
          <c:marker>
            <c:symbol val="circle"/>
            <c:size val="8"/>
            <c:spPr>
              <a:noFill/>
            </c:spPr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49909.7</c:v>
                </c:pt>
                <c:pt idx="1">
                  <c:v>49909.7</c:v>
                </c:pt>
              </c:numCache>
            </c:numRef>
          </c:xVal>
          <c:yVal>
            <c:numRef>
              <c:f>SRR!$F$16:$F$17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C-4BA4-91DD-F674D9607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8800"/>
        <c:axId val="149079168"/>
      </c:scatterChart>
      <c:valAx>
        <c:axId val="14906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079168"/>
        <c:crosses val="autoZero"/>
        <c:crossBetween val="midCat"/>
      </c:valAx>
      <c:valAx>
        <c:axId val="149079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9068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 TimeSeries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132229755087039E-2"/>
          <c:y val="0.1534229576008273"/>
          <c:w val="0.90143796256423303"/>
          <c:h val="0.72060712162789375"/>
        </c:manualLayout>
      </c:layout>
      <c:lineChart>
        <c:grouping val="standard"/>
        <c:varyColors val="0"/>
        <c:ser>
          <c:idx val="0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SRR!$A$14:$A$17</c:f>
              <c:strCache>
                <c:ptCount val="4"/>
                <c:pt idx="0">
                  <c:v>Yr</c:v>
                </c:pt>
                <c:pt idx="1">
                  <c:v>S/Rcurve</c:v>
                </c:pt>
                <c:pt idx="2">
                  <c:v>Virg</c:v>
                </c:pt>
                <c:pt idx="3">
                  <c:v>Init</c:v>
                </c:pt>
              </c:strCache>
            </c:strRef>
          </c:cat>
          <c:val>
            <c:numRef>
              <c:f>SRR!$C$16:$C$17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9C-4971-B141-D4864FC78332}"/>
            </c:ext>
          </c:extLst>
        </c:ser>
        <c:ser>
          <c:idx val="1"/>
          <c:order val="1"/>
          <c:tx>
            <c:strRef>
              <c:f>SRR!$D$14</c:f>
              <c:strCache>
                <c:ptCount val="1"/>
                <c:pt idx="0">
                  <c:v>with_regime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SRR!$D$16:$D$17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9C-4971-B141-D4864FC78332}"/>
            </c:ext>
          </c:extLst>
        </c:ser>
        <c:ser>
          <c:idx val="2"/>
          <c:order val="2"/>
          <c:tx>
            <c:strRef>
              <c:f>SRR!$E$14</c:f>
              <c:strCache>
                <c:ptCount val="1"/>
                <c:pt idx="0">
                  <c:v>bias_adjusted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SRR!$E$16:$E$17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9C-4971-B141-D4864FC78332}"/>
            </c:ext>
          </c:extLst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SRR!$F$16:$F$17</c:f>
              <c:numCache>
                <c:formatCode>General</c:formatCode>
                <c:ptCount val="2"/>
                <c:pt idx="0">
                  <c:v>6734.87</c:v>
                </c:pt>
                <c:pt idx="1">
                  <c:v>6734.87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9C-4971-B141-D4864FC7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5152"/>
        <c:axId val="641683424"/>
      </c:lineChart>
      <c:catAx>
        <c:axId val="79798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83424"/>
        <c:crosses val="autoZero"/>
        <c:auto val="1"/>
        <c:lblAlgn val="ctr"/>
        <c:lblOffset val="100"/>
        <c:noMultiLvlLbl val="0"/>
      </c:catAx>
      <c:valAx>
        <c:axId val="641683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98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32725643826284"/>
          <c:y val="1.7248247278293927E-2"/>
          <c:w val="0.21026059676768433"/>
          <c:h val="0.27921601836998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183108617448986E-2"/>
          <c:y val="5.0403275425351474E-2"/>
          <c:w val="0.77076278113140484"/>
          <c:h val="0.79838788273756656"/>
        </c:manualLayout>
      </c:layout>
      <c:scatterChart>
        <c:scatterStyle val="lineMarker"/>
        <c:varyColors val="0"/>
        <c:ser>
          <c:idx val="0"/>
          <c:order val="0"/>
          <c:tx>
            <c:strRef>
              <c:f>SURVEY!$X$4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1977.5</c:v>
                </c:pt>
                <c:pt idx="1">
                  <c:v>1980.5</c:v>
                </c:pt>
              </c:numCache>
            </c:numRef>
          </c:xVal>
          <c:yVal>
            <c:numRef>
              <c:f>SURVEY!OBS</c:f>
              <c:numCache>
                <c:formatCode>General</c:formatCode>
                <c:ptCount val="2"/>
                <c:pt idx="0">
                  <c:v>339689</c:v>
                </c:pt>
                <c:pt idx="1">
                  <c:v>193353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5-49CD-B9C9-8BBF55095698}"/>
            </c:ext>
          </c:extLst>
        </c:ser>
        <c:ser>
          <c:idx val="2"/>
          <c:order val="1"/>
          <c:tx>
            <c:strRef>
              <c:f>SURVEY!$Z$4</c:f>
              <c:strCache>
                <c:ptCount val="1"/>
                <c:pt idx="0">
                  <c:v>se2_hi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1977.5</c:v>
                </c:pt>
                <c:pt idx="1">
                  <c:v>1980.5</c:v>
                </c:pt>
              </c:numCache>
            </c:numRef>
          </c:xVal>
          <c:yVal>
            <c:numRef>
              <c:f>SURVEY!se2_hi</c:f>
              <c:numCache>
                <c:formatCode>General</c:formatCode>
                <c:ptCount val="2"/>
                <c:pt idx="0">
                  <c:v>611570.65556979645</c:v>
                </c:pt>
                <c:pt idx="1">
                  <c:v>348109.65608655819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F5-49CD-B9C9-8BBF55095698}"/>
            </c:ext>
          </c:extLst>
        </c:ser>
        <c:ser>
          <c:idx val="3"/>
          <c:order val="2"/>
          <c:tx>
            <c:strRef>
              <c:f>SURVEY!$Y$4</c:f>
              <c:strCache>
                <c:ptCount val="1"/>
                <c:pt idx="0">
                  <c:v>se2_low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1977.5</c:v>
                </c:pt>
                <c:pt idx="1">
                  <c:v>1980.5</c:v>
                </c:pt>
              </c:numCache>
            </c:numRef>
          </c:xVal>
          <c:yVal>
            <c:numRef>
              <c:f>SURVEY!se2_low</c:f>
              <c:numCache>
                <c:formatCode>General</c:formatCode>
                <c:ptCount val="2"/>
                <c:pt idx="0">
                  <c:v>188675.85563518113</c:v>
                </c:pt>
                <c:pt idx="1">
                  <c:v>107395.41967690793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1056"/>
        <c:axId val="148951424"/>
      </c:scatterChart>
      <c:scatterChart>
        <c:scatterStyle val="lineMarker"/>
        <c:varyColors val="0"/>
        <c:ser>
          <c:idx val="5"/>
          <c:order val="3"/>
          <c:tx>
            <c:strRef>
              <c:f>SURVEY!$V$4</c:f>
              <c:strCache>
                <c:ptCount val="1"/>
                <c:pt idx="0">
                  <c:v>Ignore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x"/>
            <c:size val="5"/>
            <c:spPr>
              <a:ln>
                <a:solidFill>
                  <a:srgbClr val="FF0000"/>
                </a:solidFill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1977.5</c:v>
                </c:pt>
                <c:pt idx="1">
                  <c:v>1980.5</c:v>
                </c:pt>
              </c:numCache>
            </c:numRef>
          </c:xVal>
          <c:yVal>
            <c:numRef>
              <c:f>SURVEY!delete_OBS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F5-49CD-B9C9-8BBF55095698}"/>
            </c:ext>
          </c:extLst>
        </c:ser>
        <c:ser>
          <c:idx val="1"/>
          <c:order val="4"/>
          <c:tx>
            <c:strRef>
              <c:f>SURVEY!$W$4</c:f>
              <c:strCache>
                <c:ptCount val="1"/>
                <c:pt idx="0">
                  <c:v>Exp</c:v>
                </c:pt>
              </c:strCache>
            </c:strRef>
          </c:tx>
          <c:marker>
            <c:symbol val="none"/>
          </c:marker>
          <c:xVal>
            <c:numRef>
              <c:f>SURVEY!Yr</c:f>
              <c:numCache>
                <c:formatCode>General</c:formatCode>
                <c:ptCount val="2"/>
                <c:pt idx="0">
                  <c:v>1977.5</c:v>
                </c:pt>
                <c:pt idx="1">
                  <c:v>1980.5</c:v>
                </c:pt>
              </c:numCache>
            </c:numRef>
          </c:xVal>
          <c:yVal>
            <c:numRef>
              <c:f>SURVEY!Exp</c:f>
              <c:numCache>
                <c:formatCode>General</c:formatCode>
                <c:ptCount val="2"/>
                <c:pt idx="0">
                  <c:v>185091</c:v>
                </c:pt>
                <c:pt idx="1">
                  <c:v>162326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2-4F28-90C1-045769E76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3344"/>
        <c:axId val="148955136"/>
      </c:scatterChart>
      <c:valAx>
        <c:axId val="14894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52157579828898"/>
              <c:y val="0.925404072474816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1424"/>
        <c:crosses val="autoZero"/>
        <c:crossBetween val="midCat"/>
        <c:majorUnit val="3"/>
      </c:valAx>
      <c:valAx>
        <c:axId val="148951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CPUE</a:t>
                </a:r>
              </a:p>
            </c:rich>
          </c:tx>
          <c:layout>
            <c:manualLayout>
              <c:xMode val="edge"/>
              <c:yMode val="edge"/>
              <c:x val="3.7914691943127965E-2"/>
              <c:y val="0.40322622978579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41056"/>
        <c:crosses val="autoZero"/>
        <c:crossBetween val="midCat"/>
      </c:valAx>
      <c:valAx>
        <c:axId val="14895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955136"/>
        <c:crosses val="autoZero"/>
        <c:crossBetween val="midCat"/>
      </c:valAx>
      <c:valAx>
        <c:axId val="148955136"/>
        <c:scaling>
          <c:orientation val="minMax"/>
        </c:scaling>
        <c:delete val="1"/>
        <c:axPos val="r"/>
        <c:numFmt formatCode="General" sourceLinked="1"/>
        <c:majorTickMark val="cross"/>
        <c:minorTickMark val="none"/>
        <c:tickLblPos val="nextTo"/>
        <c:crossAx val="148953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186091330963457"/>
          <c:y val="0.24544809922953179"/>
          <c:w val="9.8213167368140342E-2"/>
          <c:h val="0.33706079078824824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Discard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477616189506774E-2"/>
          <c:y val="5.1284995625546795E-2"/>
          <c:w val="0.77363831007008221"/>
          <c:h val="0.83273512685914264"/>
        </c:manualLayout>
      </c:layout>
      <c:scatterChart>
        <c:scatterStyle val="lineMarker"/>
        <c:varyColors val="0"/>
        <c:ser>
          <c:idx val="0"/>
          <c:order val="0"/>
          <c:tx>
            <c:strRef>
              <c:f>Discard!$V$4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Discard!$H$5:$H$7</c:f>
              <c:numCache>
                <c:formatCode>General</c:formatCode>
                <c:ptCount val="3"/>
              </c:numCache>
            </c:numRef>
          </c:xVal>
          <c:yVal>
            <c:numRef>
              <c:f>Discard!$V$5:$V$7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5-44C7-8522-0BE04BC157EB}"/>
            </c:ext>
          </c:extLst>
        </c:ser>
        <c:ser>
          <c:idx val="1"/>
          <c:order val="1"/>
          <c:tx>
            <c:strRef>
              <c:f>Discard!$W$4</c:f>
              <c:strCache>
                <c:ptCount val="1"/>
                <c:pt idx="0">
                  <c:v>OBS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Discard!$H$5:$H$7</c:f>
              <c:numCache>
                <c:formatCode>General</c:formatCode>
                <c:ptCount val="3"/>
              </c:numCache>
            </c:numRef>
          </c:xVal>
          <c:yVal>
            <c:numRef>
              <c:f>Discard!$W$5:$W$7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5-44C7-8522-0BE04BC157EB}"/>
            </c:ext>
          </c:extLst>
        </c:ser>
        <c:ser>
          <c:idx val="4"/>
          <c:order val="2"/>
          <c:tx>
            <c:strRef>
              <c:f>Discard!$J$4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Discard!$H$5:$H$7</c:f>
              <c:numCache>
                <c:formatCode>General</c:formatCode>
                <c:ptCount val="3"/>
              </c:numCache>
            </c:numRef>
          </c:xVal>
          <c:yVal>
            <c:numRef>
              <c:f>Discard!$J$5:$J$7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C5-44C7-8522-0BE04BC15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34592"/>
        <c:axId val="153136128"/>
      </c:scatterChart>
      <c:valAx>
        <c:axId val="1531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36128"/>
        <c:crosses val="autoZero"/>
        <c:crossBetween val="midCat"/>
      </c:valAx>
      <c:valAx>
        <c:axId val="153136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134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 alignWithMargins="0"/>
    <c:pageMargins b="1" l="0.75000000000000455" r="0.7500000000000045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Summary Biomass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Time_Series!Bio_smry</c:f>
              <c:numCache>
                <c:formatCode>General</c:formatCode>
                <c:ptCount val="3"/>
                <c:pt idx="0">
                  <c:v>124144</c:v>
                </c:pt>
                <c:pt idx="1">
                  <c:v>124144</c:v>
                </c:pt>
                <c:pt idx="2">
                  <c:v>124144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A-43D9-8746-1B0BFB88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30432"/>
        <c:axId val="148132224"/>
      </c:scatterChart>
      <c:valAx>
        <c:axId val="1481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32224"/>
        <c:crosses val="autoZero"/>
        <c:crossBetween val="midCat"/>
      </c:valAx>
      <c:valAx>
        <c:axId val="148132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SpawnBio</c:v>
          </c:tx>
          <c:marker>
            <c:symbol val="circle"/>
            <c:size val="4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Time_Series!SpawnBio</c:f>
              <c:numCache>
                <c:formatCode>General</c:formatCode>
                <c:ptCount val="3"/>
                <c:pt idx="0">
                  <c:v>49909.7</c:v>
                </c:pt>
                <c:pt idx="1">
                  <c:v>49909.7</c:v>
                </c:pt>
                <c:pt idx="2">
                  <c:v>49909.7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4240"/>
        <c:axId val="148155776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Time_Series!Recruit_0</c:f>
              <c:numCache>
                <c:formatCode>General</c:formatCode>
                <c:ptCount val="3"/>
                <c:pt idx="0">
                  <c:v>6734.87</c:v>
                </c:pt>
                <c:pt idx="1">
                  <c:v>6734.87</c:v>
                </c:pt>
                <c:pt idx="2">
                  <c:v>6385.94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9104"/>
        <c:axId val="148157568"/>
      </c:scatterChart>
      <c:valAx>
        <c:axId val="1481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55776"/>
        <c:crosses val="autoZero"/>
        <c:crossBetween val="midCat"/>
      </c:valAx>
      <c:valAx>
        <c:axId val="148155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54240"/>
        <c:crosses val="autoZero"/>
        <c:crossBetween val="midCat"/>
      </c:valAx>
      <c:valAx>
        <c:axId val="1481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159104"/>
        <c:crosses val="max"/>
        <c:crossBetween val="midCat"/>
      </c:valAx>
      <c:valAx>
        <c:axId val="14815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57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176712824690044"/>
          <c:y val="0.56450460546364289"/>
          <c:w val="0.20130758439677801"/>
          <c:h val="0.180603379633725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0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Annual!$O$8</c:f>
              <c:strCache>
                <c:ptCount val="1"/>
                <c:pt idx="0">
                  <c:v>Bio_all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Annual!Bio_smry</c:f>
              <c:numCache>
                <c:formatCode>General</c:formatCode>
                <c:ptCount val="2"/>
                <c:pt idx="0">
                  <c:v>124623</c:v>
                </c:pt>
                <c:pt idx="1">
                  <c:v>124479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1296"/>
        <c:axId val="148232832"/>
      </c:scatterChart>
      <c:scatterChart>
        <c:scatterStyle val="lineMarker"/>
        <c:varyColors val="0"/>
        <c:ser>
          <c:idx val="1"/>
          <c:order val="1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64037.3</c:v>
                </c:pt>
                <c:pt idx="1">
                  <c:v>63721.599999999999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48448"/>
        <c:axId val="148246912"/>
      </c:scatterChart>
      <c:valAx>
        <c:axId val="14823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32832"/>
        <c:crosses val="autoZero"/>
        <c:crossBetween val="midCat"/>
      </c:valAx>
      <c:valAx>
        <c:axId val="14823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31296"/>
        <c:crosses val="autoZero"/>
        <c:crossBetween val="midCat"/>
      </c:valAx>
      <c:valAx>
        <c:axId val="14824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48448"/>
        <c:crosses val="max"/>
        <c:crossBetween val="midCat"/>
      </c:valAx>
      <c:valAx>
        <c:axId val="14824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4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3316774234231083"/>
          <c:h val="0.303277373347202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2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Annual!$S$8</c:f>
              <c:strCache>
                <c:ptCount val="1"/>
                <c:pt idx="0">
                  <c:v>Enc_Catch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Annual!SPB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368"/>
        <c:axId val="148280448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Annual!Recruits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1968"/>
        <c:axId val="148281984"/>
      </c:scatterChart>
      <c:valAx>
        <c:axId val="148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80448"/>
        <c:crosses val="autoZero"/>
        <c:crossBetween val="midCat"/>
      </c:valAx>
      <c:valAx>
        <c:axId val="148280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66368"/>
        <c:crosses val="autoZero"/>
        <c:crossBetween val="midCat"/>
      </c:valAx>
      <c:valAx>
        <c:axId val="148281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91968"/>
        <c:crosses val="max"/>
        <c:crossBetween val="midCat"/>
      </c:valAx>
      <c:valAx>
        <c:axId val="14829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26385752945988888"/>
          <c:h val="0.30327737334720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87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1</c:v>
                </c:pt>
                <c:pt idx="1">
                  <c:v>0.97646500000000003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63424"/>
        <c:axId val="147864960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72384"/>
        <c:axId val="147870848"/>
      </c:scatterChart>
      <c:valAx>
        <c:axId val="14786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64960"/>
        <c:crosses val="autoZero"/>
        <c:crossBetween val="midCat"/>
      </c:valAx>
      <c:valAx>
        <c:axId val="147864960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47863424"/>
        <c:crosses val="autoZero"/>
        <c:crossBetween val="midCat"/>
      </c:valAx>
      <c:valAx>
        <c:axId val="14787084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7872384"/>
        <c:crosses val="max"/>
        <c:crossBetween val="midCat"/>
      </c:valAx>
      <c:valAx>
        <c:axId val="14787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787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64037.3</c:v>
                </c:pt>
                <c:pt idx="1">
                  <c:v>63721.599999999999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76896"/>
        <c:axId val="14817843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9952"/>
        <c:axId val="148179968"/>
      </c:scatterChart>
      <c:valAx>
        <c:axId val="1481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78432"/>
        <c:crosses val="autoZero"/>
        <c:crossBetween val="midCat"/>
      </c:valAx>
      <c:valAx>
        <c:axId val="14817843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148176896"/>
        <c:crosses val="autoZero"/>
        <c:crossBetween val="midCat"/>
      </c:valAx>
      <c:valAx>
        <c:axId val="14817996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8189952"/>
        <c:crosses val="max"/>
        <c:crossBetween val="midCat"/>
      </c:valAx>
      <c:valAx>
        <c:axId val="14818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39457052594811176"/>
          <c:h val="0.2781201406427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</a:t>
            </a:r>
          </a:p>
        </c:rich>
      </c:tx>
      <c:layout>
        <c:manualLayout>
          <c:xMode val="edge"/>
          <c:yMode val="edge"/>
          <c:x val="0.44419644776236877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9107142857223"/>
          <c:y val="7.4592244391582033E-2"/>
          <c:w val="0.84486607142857795"/>
          <c:h val="0.69464027589660704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Comp_Disp!Exp</c:f>
              <c:numCache>
                <c:formatCode>General</c:formatCode>
                <c:ptCount val="25"/>
                <c:pt idx="0">
                  <c:v>2.68189E-2</c:v>
                </c:pt>
                <c:pt idx="1">
                  <c:v>9.2401700000000007E-3</c:v>
                </c:pt>
                <c:pt idx="2">
                  <c:v>1.18738E-2</c:v>
                </c:pt>
                <c:pt idx="3">
                  <c:v>1.49823E-2</c:v>
                </c:pt>
                <c:pt idx="4">
                  <c:v>1.8536400000000001E-2</c:v>
                </c:pt>
                <c:pt idx="5">
                  <c:v>2.2451499999999999E-2</c:v>
                </c:pt>
                <c:pt idx="6">
                  <c:v>2.6580099999999999E-2</c:v>
                </c:pt>
                <c:pt idx="7">
                  <c:v>3.0699000000000001E-2</c:v>
                </c:pt>
                <c:pt idx="8">
                  <c:v>3.4497300000000002E-2</c:v>
                </c:pt>
                <c:pt idx="9">
                  <c:v>3.7582299999999999E-2</c:v>
                </c:pt>
                <c:pt idx="10">
                  <c:v>7.9451800000000003E-2</c:v>
                </c:pt>
                <c:pt idx="11">
                  <c:v>7.4055399999999993E-2</c:v>
                </c:pt>
                <c:pt idx="12">
                  <c:v>5.6447200000000003E-2</c:v>
                </c:pt>
                <c:pt idx="13">
                  <c:v>5.8613999999999999E-2</c:v>
                </c:pt>
                <c:pt idx="15">
                  <c:v>1.9537200000000001E-2</c:v>
                </c:pt>
                <c:pt idx="16">
                  <c:v>7.1832700000000003E-3</c:v>
                </c:pt>
                <c:pt idx="17">
                  <c:v>9.4773800000000005E-3</c:v>
                </c:pt>
                <c:pt idx="18">
                  <c:v>1.2333500000000001E-2</c:v>
                </c:pt>
                <c:pt idx="19">
                  <c:v>1.5786399999999999E-2</c:v>
                </c:pt>
                <c:pt idx="20">
                  <c:v>1.9836900000000001E-2</c:v>
                </c:pt>
                <c:pt idx="21">
                  <c:v>2.4408099999999999E-2</c:v>
                </c:pt>
                <c:pt idx="22">
                  <c:v>2.93034E-2</c:v>
                </c:pt>
                <c:pt idx="23">
                  <c:v>3.4171300000000002E-2</c:v>
                </c:pt>
                <c:pt idx="24">
                  <c:v>3.84947E-2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EC4-4C05-97ED-80214940C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"/>
        <c:showNegBubbles val="0"/>
        <c:axId val="148861696"/>
        <c:axId val="148863616"/>
      </c:bubbleChart>
      <c:valAx>
        <c:axId val="148861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00000605460645"/>
              <c:y val="0.87179682959211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3616"/>
        <c:crosses val="autoZero"/>
        <c:crossBetween val="midCat"/>
      </c:valAx>
      <c:valAx>
        <c:axId val="148863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71296457466312413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Comp_Disp!Pearson</c:f>
              <c:numCache>
                <c:formatCode>General</c:formatCode>
                <c:ptCount val="25"/>
                <c:pt idx="0">
                  <c:v>0.35856199999999999</c:v>
                </c:pt>
                <c:pt idx="1">
                  <c:v>-0.14490500000000001</c:v>
                </c:pt>
                <c:pt idx="2">
                  <c:v>-0.39983200000000002</c:v>
                </c:pt>
                <c:pt idx="3">
                  <c:v>9.36665E-2</c:v>
                </c:pt>
                <c:pt idx="4">
                  <c:v>1.1160099999999999</c:v>
                </c:pt>
                <c:pt idx="5">
                  <c:v>-1.0906199999999999</c:v>
                </c:pt>
                <c:pt idx="6">
                  <c:v>0.93277399999999999</c:v>
                </c:pt>
                <c:pt idx="7">
                  <c:v>1.1213299999999999</c:v>
                </c:pt>
                <c:pt idx="8">
                  <c:v>-1.13317</c:v>
                </c:pt>
                <c:pt idx="9">
                  <c:v>-0.79845999999999995</c:v>
                </c:pt>
                <c:pt idx="10">
                  <c:v>0.35338199999999997</c:v>
                </c:pt>
                <c:pt idx="11">
                  <c:v>-0.42932799999999999</c:v>
                </c:pt>
                <c:pt idx="12">
                  <c:v>-1.18435</c:v>
                </c:pt>
                <c:pt idx="13">
                  <c:v>-0.88595199999999996</c:v>
                </c:pt>
                <c:pt idx="15">
                  <c:v>-0.931979</c:v>
                </c:pt>
                <c:pt idx="16">
                  <c:v>-0.95098899999999997</c:v>
                </c:pt>
                <c:pt idx="17">
                  <c:v>-0.17047000000000001</c:v>
                </c:pt>
                <c:pt idx="18">
                  <c:v>1.18181</c:v>
                </c:pt>
                <c:pt idx="19">
                  <c:v>-1.4159600000000001</c:v>
                </c:pt>
                <c:pt idx="20">
                  <c:v>0.33380100000000001</c:v>
                </c:pt>
                <c:pt idx="21">
                  <c:v>0.55005400000000004</c:v>
                </c:pt>
                <c:pt idx="22">
                  <c:v>-0.88189200000000001</c:v>
                </c:pt>
                <c:pt idx="23">
                  <c:v>-0.13362399999999999</c:v>
                </c:pt>
                <c:pt idx="24">
                  <c:v>8.7479299999999996E-2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CD-4D0C-980A-45A2CF318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148892288"/>
        <c:axId val="152060672"/>
      </c:bubbleChart>
      <c:valAx>
        <c:axId val="14889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64447769480729"/>
              <c:y val="0.895835398197602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60672"/>
        <c:crosses val="autoZero"/>
        <c:crossBetween val="midCat"/>
      </c:valAx>
      <c:valAx>
        <c:axId val="1520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92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</a:t>
            </a:r>
          </a:p>
        </c:rich>
      </c:tx>
      <c:layout>
        <c:manualLayout>
          <c:xMode val="edge"/>
          <c:yMode val="edge"/>
          <c:x val="0.44556290089407552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80830149973468E-2"/>
          <c:y val="8.1585267303293268E-2"/>
          <c:w val="0.86093359595400953"/>
          <c:h val="0.6736612071614847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Comp_Disp!Obs</c:f>
              <c:numCache>
                <c:formatCode>General</c:formatCode>
                <c:ptCount val="25"/>
                <c:pt idx="0">
                  <c:v>3.2000000000000001E-2</c:v>
                </c:pt>
                <c:pt idx="1">
                  <c:v>8.0000799999999997E-3</c:v>
                </c:pt>
                <c:pt idx="2">
                  <c:v>8.0000799999999997E-3</c:v>
                </c:pt>
                <c:pt idx="3">
                  <c:v>1.60001E-2</c:v>
                </c:pt>
                <c:pt idx="4">
                  <c:v>3.2000000000000001E-2</c:v>
                </c:pt>
                <c:pt idx="5">
                  <c:v>8.0000799999999997E-3</c:v>
                </c:pt>
                <c:pt idx="6">
                  <c:v>0.04</c:v>
                </c:pt>
                <c:pt idx="7">
                  <c:v>4.8000000000000001E-2</c:v>
                </c:pt>
                <c:pt idx="8">
                  <c:v>1.60001E-2</c:v>
                </c:pt>
                <c:pt idx="9">
                  <c:v>2.4E-2</c:v>
                </c:pt>
                <c:pt idx="10">
                  <c:v>8.7999800000000003E-2</c:v>
                </c:pt>
                <c:pt idx="11">
                  <c:v>6.3999899999999998E-2</c:v>
                </c:pt>
                <c:pt idx="12">
                  <c:v>3.2000000000000001E-2</c:v>
                </c:pt>
                <c:pt idx="13">
                  <c:v>0.04</c:v>
                </c:pt>
                <c:pt idx="15">
                  <c:v>8.0000799999999997E-3</c:v>
                </c:pt>
                <c:pt idx="16">
                  <c:v>9.9999700000000006E-8</c:v>
                </c:pt>
                <c:pt idx="17">
                  <c:v>8.0000799999999997E-3</c:v>
                </c:pt>
                <c:pt idx="18">
                  <c:v>2.4E-2</c:v>
                </c:pt>
                <c:pt idx="19">
                  <c:v>9.9999700000000006E-8</c:v>
                </c:pt>
                <c:pt idx="20">
                  <c:v>2.4E-2</c:v>
                </c:pt>
                <c:pt idx="21">
                  <c:v>3.2000000000000001E-2</c:v>
                </c:pt>
                <c:pt idx="22">
                  <c:v>1.60001E-2</c:v>
                </c:pt>
                <c:pt idx="23">
                  <c:v>3.2000000000000001E-2</c:v>
                </c:pt>
                <c:pt idx="24">
                  <c:v>0.04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F2D8-444A-8E56-1DF44A06B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2093824"/>
        <c:axId val="152095744"/>
      </c:bubbleChart>
      <c:valAx>
        <c:axId val="15209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0532700792109"/>
              <c:y val="0.8787898365851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5744"/>
        <c:crosses val="autoZero"/>
        <c:crossBetween val="midCat"/>
      </c:valAx>
      <c:valAx>
        <c:axId val="15209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3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Comp_Disp!Obs</c:f>
              <c:numCache>
                <c:formatCode>General</c:formatCode>
                <c:ptCount val="25"/>
                <c:pt idx="0">
                  <c:v>3.2000000000000001E-2</c:v>
                </c:pt>
                <c:pt idx="1">
                  <c:v>8.0000799999999997E-3</c:v>
                </c:pt>
                <c:pt idx="2">
                  <c:v>8.0000799999999997E-3</c:v>
                </c:pt>
                <c:pt idx="3">
                  <c:v>1.60001E-2</c:v>
                </c:pt>
                <c:pt idx="4">
                  <c:v>3.2000000000000001E-2</c:v>
                </c:pt>
                <c:pt idx="5">
                  <c:v>8.0000799999999997E-3</c:v>
                </c:pt>
                <c:pt idx="6">
                  <c:v>0.04</c:v>
                </c:pt>
                <c:pt idx="7">
                  <c:v>4.8000000000000001E-2</c:v>
                </c:pt>
                <c:pt idx="8">
                  <c:v>1.60001E-2</c:v>
                </c:pt>
                <c:pt idx="9">
                  <c:v>2.4E-2</c:v>
                </c:pt>
                <c:pt idx="10">
                  <c:v>8.7999800000000003E-2</c:v>
                </c:pt>
                <c:pt idx="11">
                  <c:v>6.3999899999999998E-2</c:v>
                </c:pt>
                <c:pt idx="12">
                  <c:v>3.2000000000000001E-2</c:v>
                </c:pt>
                <c:pt idx="13">
                  <c:v>0.04</c:v>
                </c:pt>
                <c:pt idx="15">
                  <c:v>8.0000799999999997E-3</c:v>
                </c:pt>
                <c:pt idx="16">
                  <c:v>9.9999700000000006E-8</c:v>
                </c:pt>
                <c:pt idx="17">
                  <c:v>8.0000799999999997E-3</c:v>
                </c:pt>
                <c:pt idx="18">
                  <c:v>2.4E-2</c:v>
                </c:pt>
                <c:pt idx="19">
                  <c:v>9.9999700000000006E-8</c:v>
                </c:pt>
                <c:pt idx="20">
                  <c:v>2.4E-2</c:v>
                </c:pt>
                <c:pt idx="21">
                  <c:v>3.2000000000000001E-2</c:v>
                </c:pt>
                <c:pt idx="22">
                  <c:v>1.60001E-2</c:v>
                </c:pt>
                <c:pt idx="23">
                  <c:v>3.2000000000000001E-2</c:v>
                </c:pt>
                <c:pt idx="24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F-401D-B7A6-3E78CE011A15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Comp_Disp!Exp</c:f>
              <c:numCache>
                <c:formatCode>General</c:formatCode>
                <c:ptCount val="25"/>
                <c:pt idx="0">
                  <c:v>2.68189E-2</c:v>
                </c:pt>
                <c:pt idx="1">
                  <c:v>9.2401700000000007E-3</c:v>
                </c:pt>
                <c:pt idx="2">
                  <c:v>1.18738E-2</c:v>
                </c:pt>
                <c:pt idx="3">
                  <c:v>1.49823E-2</c:v>
                </c:pt>
                <c:pt idx="4">
                  <c:v>1.8536400000000001E-2</c:v>
                </c:pt>
                <c:pt idx="5">
                  <c:v>2.2451499999999999E-2</c:v>
                </c:pt>
                <c:pt idx="6">
                  <c:v>2.6580099999999999E-2</c:v>
                </c:pt>
                <c:pt idx="7">
                  <c:v>3.0699000000000001E-2</c:v>
                </c:pt>
                <c:pt idx="8">
                  <c:v>3.4497300000000002E-2</c:v>
                </c:pt>
                <c:pt idx="9">
                  <c:v>3.7582299999999999E-2</c:v>
                </c:pt>
                <c:pt idx="10">
                  <c:v>7.9451800000000003E-2</c:v>
                </c:pt>
                <c:pt idx="11">
                  <c:v>7.4055399999999993E-2</c:v>
                </c:pt>
                <c:pt idx="12">
                  <c:v>5.6447200000000003E-2</c:v>
                </c:pt>
                <c:pt idx="13">
                  <c:v>5.8613999999999999E-2</c:v>
                </c:pt>
                <c:pt idx="15">
                  <c:v>1.9537200000000001E-2</c:v>
                </c:pt>
                <c:pt idx="16">
                  <c:v>7.1832700000000003E-3</c:v>
                </c:pt>
                <c:pt idx="17">
                  <c:v>9.4773800000000005E-3</c:v>
                </c:pt>
                <c:pt idx="18">
                  <c:v>1.2333500000000001E-2</c:v>
                </c:pt>
                <c:pt idx="19">
                  <c:v>1.5786399999999999E-2</c:v>
                </c:pt>
                <c:pt idx="20">
                  <c:v>1.9836900000000001E-2</c:v>
                </c:pt>
                <c:pt idx="21">
                  <c:v>2.4408099999999999E-2</c:v>
                </c:pt>
                <c:pt idx="22">
                  <c:v>2.93034E-2</c:v>
                </c:pt>
                <c:pt idx="23">
                  <c:v>3.4171300000000002E-2</c:v>
                </c:pt>
                <c:pt idx="24">
                  <c:v>3.84947E-2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9F-401D-B7A6-3E78CE01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78368"/>
        <c:axId val="152380544"/>
      </c:scatterChart>
      <c:valAx>
        <c:axId val="1523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0544"/>
        <c:crosses val="autoZero"/>
        <c:crossBetween val="midCat"/>
      </c:valAx>
      <c:valAx>
        <c:axId val="152380544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783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Comp_Disp!Cum_obs</c:f>
              <c:numCache>
                <c:formatCode>General</c:formatCode>
                <c:ptCount val="25"/>
                <c:pt idx="0">
                  <c:v>3.2000000000000001E-2</c:v>
                </c:pt>
                <c:pt idx="1">
                  <c:v>4.0000099999999997E-2</c:v>
                </c:pt>
                <c:pt idx="2">
                  <c:v>4.80002E-2</c:v>
                </c:pt>
                <c:pt idx="3">
                  <c:v>6.4000199999999993E-2</c:v>
                </c:pt>
                <c:pt idx="4">
                  <c:v>9.6000199999999994E-2</c:v>
                </c:pt>
                <c:pt idx="5">
                  <c:v>0.104</c:v>
                </c:pt>
                <c:pt idx="6">
                  <c:v>0.14399999999999999</c:v>
                </c:pt>
                <c:pt idx="7">
                  <c:v>0.192</c:v>
                </c:pt>
                <c:pt idx="8">
                  <c:v>0.20799999999999999</c:v>
                </c:pt>
                <c:pt idx="9">
                  <c:v>0.23200000000000001</c:v>
                </c:pt>
                <c:pt idx="10">
                  <c:v>0.32</c:v>
                </c:pt>
                <c:pt idx="11">
                  <c:v>0.38400000000000001</c:v>
                </c:pt>
                <c:pt idx="12">
                  <c:v>0.41599999999999998</c:v>
                </c:pt>
                <c:pt idx="13">
                  <c:v>0.45600000000000002</c:v>
                </c:pt>
                <c:pt idx="15">
                  <c:v>0.46400000000000002</c:v>
                </c:pt>
                <c:pt idx="16">
                  <c:v>0.46400000000000002</c:v>
                </c:pt>
                <c:pt idx="17">
                  <c:v>0.47199999999999998</c:v>
                </c:pt>
                <c:pt idx="18">
                  <c:v>0.496</c:v>
                </c:pt>
                <c:pt idx="19">
                  <c:v>0.496</c:v>
                </c:pt>
                <c:pt idx="20">
                  <c:v>0.52</c:v>
                </c:pt>
                <c:pt idx="21">
                  <c:v>0.55200000000000005</c:v>
                </c:pt>
                <c:pt idx="22">
                  <c:v>0.56800099999999998</c:v>
                </c:pt>
                <c:pt idx="23">
                  <c:v>0.60000100000000001</c:v>
                </c:pt>
                <c:pt idx="24">
                  <c:v>0.64000100000000004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2-40F3-8BC9-DD0E504E54D6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Comp_Disp!Cum_exp</c:f>
              <c:numCache>
                <c:formatCode>General</c:formatCode>
                <c:ptCount val="25"/>
                <c:pt idx="0">
                  <c:v>2.68189E-2</c:v>
                </c:pt>
                <c:pt idx="1">
                  <c:v>3.6059000000000001E-2</c:v>
                </c:pt>
                <c:pt idx="2">
                  <c:v>4.7932799999999998E-2</c:v>
                </c:pt>
                <c:pt idx="3">
                  <c:v>6.2915100000000002E-2</c:v>
                </c:pt>
                <c:pt idx="4">
                  <c:v>8.1451399999999993E-2</c:v>
                </c:pt>
                <c:pt idx="5">
                  <c:v>0.103903</c:v>
                </c:pt>
                <c:pt idx="6">
                  <c:v>0.13048299999999999</c:v>
                </c:pt>
                <c:pt idx="7">
                  <c:v>0.16118199999999999</c:v>
                </c:pt>
                <c:pt idx="8">
                  <c:v>0.19567899999999999</c:v>
                </c:pt>
                <c:pt idx="9">
                  <c:v>0.233262</c:v>
                </c:pt>
                <c:pt idx="10">
                  <c:v>0.31271300000000002</c:v>
                </c:pt>
                <c:pt idx="11">
                  <c:v>0.38676899999999997</c:v>
                </c:pt>
                <c:pt idx="12">
                  <c:v>0.443216</c:v>
                </c:pt>
                <c:pt idx="13">
                  <c:v>0.50183</c:v>
                </c:pt>
                <c:pt idx="15">
                  <c:v>0.52136700000000002</c:v>
                </c:pt>
                <c:pt idx="16">
                  <c:v>0.52855099999999999</c:v>
                </c:pt>
                <c:pt idx="17">
                  <c:v>0.53802799999999995</c:v>
                </c:pt>
                <c:pt idx="18">
                  <c:v>0.55036099999999999</c:v>
                </c:pt>
                <c:pt idx="19">
                  <c:v>0.56614799999999998</c:v>
                </c:pt>
                <c:pt idx="20">
                  <c:v>0.58598499999999998</c:v>
                </c:pt>
                <c:pt idx="21">
                  <c:v>0.61039299999999996</c:v>
                </c:pt>
                <c:pt idx="22">
                  <c:v>0.63969600000000004</c:v>
                </c:pt>
                <c:pt idx="23">
                  <c:v>0.67386800000000002</c:v>
                </c:pt>
                <c:pt idx="24">
                  <c:v>0.71236200000000005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2-40F3-8BC9-DD0E504E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12928"/>
        <c:axId val="152414848"/>
      </c:scatterChart>
      <c:valAx>
        <c:axId val="15241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4848"/>
        <c:crosses val="autoZero"/>
        <c:crossBetween val="midCat"/>
      </c:valAx>
      <c:valAx>
        <c:axId val="152414848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2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8373329708159033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BIO!$O$37</c:f>
              <c:strCache>
                <c:ptCount val="1"/>
                <c:pt idx="0">
                  <c:v>Len_Mid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BIO!Len_Mid</c:f>
              <c:numCache>
                <c:formatCode>General</c:formatCode>
                <c:ptCount val="3"/>
                <c:pt idx="0">
                  <c:v>25.294899999999998</c:v>
                </c:pt>
                <c:pt idx="1">
                  <c:v>31.820499999999999</c:v>
                </c:pt>
                <c:pt idx="2">
                  <c:v>37.452300000000001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6-4366-8FB8-E8ECB67EFD52}"/>
            </c:ext>
          </c:extLst>
        </c:ser>
        <c:ser>
          <c:idx val="1"/>
          <c:order val="1"/>
          <c:tx>
            <c:strRef>
              <c:f>BIO!$N$37</c:f>
              <c:strCache>
                <c:ptCount val="1"/>
                <c:pt idx="0">
                  <c:v>Len_Beg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BIO!Len_Beg</c:f>
              <c:numCache>
                <c:formatCode>General</c:formatCode>
                <c:ptCount val="3"/>
                <c:pt idx="0">
                  <c:v>21.653500000000001</c:v>
                </c:pt>
                <c:pt idx="1">
                  <c:v>28.677800000000001</c:v>
                </c:pt>
                <c:pt idx="2">
                  <c:v>34.74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6-4366-8FB8-E8ECB67EF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BIO!$Q$37</c:f>
              <c:strCache>
                <c:ptCount val="1"/>
                <c:pt idx="0">
                  <c:v>SD_Mid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BIO!SD_Mid</c:f>
              <c:numCache>
                <c:formatCode>General</c:formatCode>
                <c:ptCount val="3"/>
                <c:pt idx="0">
                  <c:v>2.52949</c:v>
                </c:pt>
                <c:pt idx="1">
                  <c:v>3.1820499999999998</c:v>
                </c:pt>
                <c:pt idx="2">
                  <c:v>3.7452299999999998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8-4E16-A0B3-E61105F5775B}"/>
            </c:ext>
          </c:extLst>
        </c:ser>
        <c:ser>
          <c:idx val="1"/>
          <c:order val="1"/>
          <c:tx>
            <c:strRef>
              <c:f>BIO!$P$37</c:f>
              <c:strCache>
                <c:ptCount val="1"/>
                <c:pt idx="0">
                  <c:v>SD_Beg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BIO!SD_Beg</c:f>
              <c:numCache>
                <c:formatCode>General</c:formatCode>
                <c:ptCount val="3"/>
                <c:pt idx="0">
                  <c:v>2.1653500000000001</c:v>
                </c:pt>
                <c:pt idx="1">
                  <c:v>2.8677800000000002</c:v>
                </c:pt>
                <c:pt idx="2">
                  <c:v>3.4740000000000002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8-4E16-A0B3-E61105F57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1"/>
          <c:order val="1"/>
          <c:tx>
            <c:strRef>
              <c:f>BIO!$R$37</c:f>
              <c:strCache>
                <c:ptCount val="1"/>
                <c:pt idx="0">
                  <c:v>Wt_Beg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BIO!Wt_Beg</c:f>
              <c:numCache>
                <c:formatCode>General</c:formatCode>
                <c:ptCount val="3"/>
                <c:pt idx="0">
                  <c:v>7.5030700000000006E-2</c:v>
                </c:pt>
                <c:pt idx="1">
                  <c:v>0.19192200000000001</c:v>
                </c:pt>
                <c:pt idx="2">
                  <c:v>0.36446899999999999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scatterChart>
        <c:scatterStyle val="lineMarker"/>
        <c:varyColors val="0"/>
        <c:ser>
          <c:idx val="4"/>
          <c:order val="0"/>
          <c:tx>
            <c:strRef>
              <c:f>BIO!$V$37</c:f>
              <c:strCache>
                <c:ptCount val="1"/>
                <c:pt idx="0">
                  <c:v>Mat*Fecund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BIO!Mat_Fec</c:f>
              <c:numCache>
                <c:formatCode>General</c:formatCode>
                <c:ptCount val="3"/>
                <c:pt idx="0">
                  <c:v>0</c:v>
                </c:pt>
                <c:pt idx="1">
                  <c:v>4.38484E-4</c:v>
                </c:pt>
                <c:pt idx="2">
                  <c:v>4.3745499999999996E-3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26592"/>
        <c:axId val="487729568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Body Weight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valAx>
        <c:axId val="48772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Maturity*Fecundity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0326592"/>
        <c:crosses val="max"/>
        <c:crossBetween val="midCat"/>
      </c:valAx>
      <c:valAx>
        <c:axId val="340326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729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Len_Sel_D!$E$3</c:f>
              <c:strCache>
                <c:ptCount val="1"/>
                <c:pt idx="0">
                  <c:v>1960_2_Lsel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General</c:formatCode>
                <c:ptCount val="73"/>
                <c:pt idx="0">
                  <c:v>4.5</c:v>
                </c:pt>
                <c:pt idx="1">
                  <c:v>5.5</c:v>
                </c:pt>
                <c:pt idx="2">
                  <c:v>6.5</c:v>
                </c:pt>
                <c:pt idx="3">
                  <c:v>7.5</c:v>
                </c:pt>
                <c:pt idx="4">
                  <c:v>8.5</c:v>
                </c:pt>
                <c:pt idx="5">
                  <c:v>9.5</c:v>
                </c:pt>
                <c:pt idx="6">
                  <c:v>10.5</c:v>
                </c:pt>
                <c:pt idx="7">
                  <c:v>11.5</c:v>
                </c:pt>
                <c:pt idx="8">
                  <c:v>12.5</c:v>
                </c:pt>
                <c:pt idx="9">
                  <c:v>13.5</c:v>
                </c:pt>
                <c:pt idx="10">
                  <c:v>14.5</c:v>
                </c:pt>
                <c:pt idx="11">
                  <c:v>15.5</c:v>
                </c:pt>
                <c:pt idx="12">
                  <c:v>16.5</c:v>
                </c:pt>
                <c:pt idx="13">
                  <c:v>17.5</c:v>
                </c:pt>
                <c:pt idx="14">
                  <c:v>18.5</c:v>
                </c:pt>
                <c:pt idx="15">
                  <c:v>19.5</c:v>
                </c:pt>
                <c:pt idx="16">
                  <c:v>20.5</c:v>
                </c:pt>
                <c:pt idx="17">
                  <c:v>21.5</c:v>
                </c:pt>
                <c:pt idx="18">
                  <c:v>22.5</c:v>
                </c:pt>
                <c:pt idx="19">
                  <c:v>23.5</c:v>
                </c:pt>
                <c:pt idx="20">
                  <c:v>24.5</c:v>
                </c:pt>
                <c:pt idx="21">
                  <c:v>25.5</c:v>
                </c:pt>
                <c:pt idx="22">
                  <c:v>26.5</c:v>
                </c:pt>
                <c:pt idx="23">
                  <c:v>27.5</c:v>
                </c:pt>
                <c:pt idx="24">
                  <c:v>28.5</c:v>
                </c:pt>
                <c:pt idx="25">
                  <c:v>29.5</c:v>
                </c:pt>
                <c:pt idx="26">
                  <c:v>30.5</c:v>
                </c:pt>
                <c:pt idx="27">
                  <c:v>31.5</c:v>
                </c:pt>
                <c:pt idx="28">
                  <c:v>32.5</c:v>
                </c:pt>
                <c:pt idx="29">
                  <c:v>33.5</c:v>
                </c:pt>
                <c:pt idx="30">
                  <c:v>34.5</c:v>
                </c:pt>
                <c:pt idx="31">
                  <c:v>35.5</c:v>
                </c:pt>
                <c:pt idx="32">
                  <c:v>36.5</c:v>
                </c:pt>
                <c:pt idx="33">
                  <c:v>37.5</c:v>
                </c:pt>
                <c:pt idx="34">
                  <c:v>38.5</c:v>
                </c:pt>
                <c:pt idx="35">
                  <c:v>39.5</c:v>
                </c:pt>
                <c:pt idx="36">
                  <c:v>41</c:v>
                </c:pt>
                <c:pt idx="37">
                  <c:v>43</c:v>
                </c:pt>
                <c:pt idx="38">
                  <c:v>45</c:v>
                </c:pt>
                <c:pt idx="39">
                  <c:v>47</c:v>
                </c:pt>
                <c:pt idx="40">
                  <c:v>49</c:v>
                </c:pt>
                <c:pt idx="41">
                  <c:v>51</c:v>
                </c:pt>
                <c:pt idx="42">
                  <c:v>53</c:v>
                </c:pt>
                <c:pt idx="43">
                  <c:v>55</c:v>
                </c:pt>
                <c:pt idx="44">
                  <c:v>57</c:v>
                </c:pt>
                <c:pt idx="45">
                  <c:v>59</c:v>
                </c:pt>
                <c:pt idx="46">
                  <c:v>61</c:v>
                </c:pt>
                <c:pt idx="47">
                  <c:v>63</c:v>
                </c:pt>
                <c:pt idx="48">
                  <c:v>65</c:v>
                </c:pt>
                <c:pt idx="49">
                  <c:v>67</c:v>
                </c:pt>
                <c:pt idx="50">
                  <c:v>69</c:v>
                </c:pt>
                <c:pt idx="51">
                  <c:v>71</c:v>
                </c:pt>
                <c:pt idx="52">
                  <c:v>73</c:v>
                </c:pt>
                <c:pt idx="53">
                  <c:v>75</c:v>
                </c:pt>
                <c:pt idx="54">
                  <c:v>77</c:v>
                </c:pt>
                <c:pt idx="55">
                  <c:v>79</c:v>
                </c:pt>
                <c:pt idx="56">
                  <c:v>81</c:v>
                </c:pt>
                <c:pt idx="57">
                  <c:v>83</c:v>
                </c:pt>
                <c:pt idx="58">
                  <c:v>85</c:v>
                </c:pt>
                <c:pt idx="59">
                  <c:v>87</c:v>
                </c:pt>
                <c:pt idx="60">
                  <c:v>89</c:v>
                </c:pt>
                <c:pt idx="61">
                  <c:v>91</c:v>
                </c:pt>
                <c:pt idx="62">
                  <c:v>93</c:v>
                </c:pt>
                <c:pt idx="63">
                  <c:v>95</c:v>
                </c:pt>
                <c:pt idx="64">
                  <c:v>97</c:v>
                </c:pt>
                <c:pt idx="65">
                  <c:v>99</c:v>
                </c:pt>
                <c:pt idx="66">
                  <c:v>102.5</c:v>
                </c:pt>
                <c:pt idx="67">
                  <c:v>107.5</c:v>
                </c:pt>
                <c:pt idx="68">
                  <c:v>112.5</c:v>
                </c:pt>
                <c:pt idx="69">
                  <c:v>117.5</c:v>
                </c:pt>
                <c:pt idx="70">
                  <c:v>122.5</c:v>
                </c:pt>
                <c:pt idx="71">
                  <c:v>127.5</c:v>
                </c:pt>
                <c:pt idx="72">
                  <c:v>132.5</c:v>
                </c:pt>
              </c:numCache>
            </c:numRef>
          </c:xVal>
          <c:yVal>
            <c:numRef>
              <c:f>Len_Sel_D!$F$3:$BZ$3</c:f>
              <c:numCache>
                <c:formatCode>General</c:formatCode>
                <c:ptCount val="73"/>
                <c:pt idx="0">
                  <c:v>4.6944099999999997E-9</c:v>
                </c:pt>
                <c:pt idx="1">
                  <c:v>6.5025599999999999E-9</c:v>
                </c:pt>
                <c:pt idx="2">
                  <c:v>1.0010199999999999E-8</c:v>
                </c:pt>
                <c:pt idx="3">
                  <c:v>1.6744999999999999E-8</c:v>
                </c:pt>
                <c:pt idx="4">
                  <c:v>2.9530500000000001E-8</c:v>
                </c:pt>
                <c:pt idx="5">
                  <c:v>5.35177E-8</c:v>
                </c:pt>
                <c:pt idx="6">
                  <c:v>9.7978500000000006E-8</c:v>
                </c:pt>
                <c:pt idx="7">
                  <c:v>1.7938300000000001E-7</c:v>
                </c:pt>
                <c:pt idx="8">
                  <c:v>3.26597E-7</c:v>
                </c:pt>
                <c:pt idx="9">
                  <c:v>5.89541E-7</c:v>
                </c:pt>
                <c:pt idx="10">
                  <c:v>1.05338E-6</c:v>
                </c:pt>
                <c:pt idx="11">
                  <c:v>1.86146E-6</c:v>
                </c:pt>
                <c:pt idx="12">
                  <c:v>3.2517499999999998E-6</c:v>
                </c:pt>
                <c:pt idx="13">
                  <c:v>5.6139700000000004E-6</c:v>
                </c:pt>
                <c:pt idx="14">
                  <c:v>9.5774999999999994E-6</c:v>
                </c:pt>
                <c:pt idx="15">
                  <c:v>1.6144700000000001E-5</c:v>
                </c:pt>
                <c:pt idx="16">
                  <c:v>2.6889900000000002E-5</c:v>
                </c:pt>
                <c:pt idx="17">
                  <c:v>4.4250199999999999E-5</c:v>
                </c:pt>
                <c:pt idx="18">
                  <c:v>7.1945600000000005E-5</c:v>
                </c:pt>
                <c:pt idx="19">
                  <c:v>1.15572E-4</c:v>
                </c:pt>
                <c:pt idx="20">
                  <c:v>1.83425E-4</c:v>
                </c:pt>
                <c:pt idx="21">
                  <c:v>2.87621E-4</c:v>
                </c:pt>
                <c:pt idx="22">
                  <c:v>4.45594E-4</c:v>
                </c:pt>
                <c:pt idx="23">
                  <c:v>6.8204400000000003E-4</c:v>
                </c:pt>
                <c:pt idx="24">
                  <c:v>1.0314300000000001E-3</c:v>
                </c:pt>
                <c:pt idx="25">
                  <c:v>1.54108E-3</c:v>
                </c:pt>
                <c:pt idx="26">
                  <c:v>2.2748999999999998E-3</c:v>
                </c:pt>
                <c:pt idx="27">
                  <c:v>3.3178399999999999E-3</c:v>
                </c:pt>
                <c:pt idx="28">
                  <c:v>4.7808199999999999E-3</c:v>
                </c:pt>
                <c:pt idx="29">
                  <c:v>6.8062000000000001E-3</c:v>
                </c:pt>
                <c:pt idx="30">
                  <c:v>9.5732899999999999E-3</c:v>
                </c:pt>
                <c:pt idx="31">
                  <c:v>1.33037E-2</c:v>
                </c:pt>
                <c:pt idx="32">
                  <c:v>1.8265799999999999E-2</c:v>
                </c:pt>
                <c:pt idx="33">
                  <c:v>2.47776E-2</c:v>
                </c:pt>
                <c:pt idx="34">
                  <c:v>3.3207399999999998E-2</c:v>
                </c:pt>
                <c:pt idx="35">
                  <c:v>4.3970799999999997E-2</c:v>
                </c:pt>
                <c:pt idx="36">
                  <c:v>6.54975E-2</c:v>
                </c:pt>
                <c:pt idx="37">
                  <c:v>0.10681</c:v>
                </c:pt>
                <c:pt idx="38">
                  <c:v>0.165966</c:v>
                </c:pt>
                <c:pt idx="39">
                  <c:v>0.24572099999999999</c:v>
                </c:pt>
                <c:pt idx="40">
                  <c:v>0.34664600000000001</c:v>
                </c:pt>
                <c:pt idx="41">
                  <c:v>0.46595900000000001</c:v>
                </c:pt>
                <c:pt idx="42">
                  <c:v>0.59679899999999997</c:v>
                </c:pt>
                <c:pt idx="43">
                  <c:v>0.72832699999999995</c:v>
                </c:pt>
                <c:pt idx="44">
                  <c:v>0.84692199999999995</c:v>
                </c:pt>
                <c:pt idx="45">
                  <c:v>0.93838100000000002</c:v>
                </c:pt>
                <c:pt idx="46">
                  <c:v>0.99068000000000001</c:v>
                </c:pt>
                <c:pt idx="47">
                  <c:v>0.99999300000000002</c:v>
                </c:pt>
                <c:pt idx="48">
                  <c:v>0.98412100000000002</c:v>
                </c:pt>
                <c:pt idx="49">
                  <c:v>0.92932700000000001</c:v>
                </c:pt>
                <c:pt idx="50">
                  <c:v>0.84182800000000002</c:v>
                </c:pt>
                <c:pt idx="51">
                  <c:v>0.73150000000000004</c:v>
                </c:pt>
                <c:pt idx="52">
                  <c:v>0.609734</c:v>
                </c:pt>
                <c:pt idx="53">
                  <c:v>0.48753000000000002</c:v>
                </c:pt>
                <c:pt idx="54">
                  <c:v>0.37393700000000002</c:v>
                </c:pt>
                <c:pt idx="55">
                  <c:v>0.27512500000000001</c:v>
                </c:pt>
                <c:pt idx="56">
                  <c:v>0.19417699999999999</c:v>
                </c:pt>
                <c:pt idx="57">
                  <c:v>0.131462</c:v>
                </c:pt>
                <c:pt idx="58">
                  <c:v>8.5376499999999994E-2</c:v>
                </c:pt>
                <c:pt idx="59">
                  <c:v>5.31878E-2</c:v>
                </c:pt>
                <c:pt idx="60">
                  <c:v>3.1784899999999998E-2</c:v>
                </c:pt>
                <c:pt idx="61">
                  <c:v>1.8220699999999999E-2</c:v>
                </c:pt>
                <c:pt idx="62">
                  <c:v>1.0019500000000001E-2</c:v>
                </c:pt>
                <c:pt idx="63">
                  <c:v>5.2851800000000004E-3</c:v>
                </c:pt>
                <c:pt idx="64">
                  <c:v>2.6743000000000001E-3</c:v>
                </c:pt>
                <c:pt idx="65">
                  <c:v>1.29806E-3</c:v>
                </c:pt>
                <c:pt idx="66">
                  <c:v>3.31498E-4</c:v>
                </c:pt>
                <c:pt idx="67">
                  <c:v>3.7814800000000003E-5</c:v>
                </c:pt>
                <c:pt idx="68">
                  <c:v>3.32867E-6</c:v>
                </c:pt>
                <c:pt idx="69">
                  <c:v>2.2849300000000001E-7</c:v>
                </c:pt>
                <c:pt idx="70">
                  <c:v>1.4666099999999999E-8</c:v>
                </c:pt>
                <c:pt idx="71">
                  <c:v>3.27592E-9</c:v>
                </c:pt>
                <c:pt idx="72">
                  <c:v>2.7547499999999998E-9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C-46E4-AB04-7B1C3F94C856}"/>
            </c:ext>
          </c:extLst>
        </c:ser>
        <c:ser>
          <c:idx val="1"/>
          <c:order val="1"/>
          <c:tx>
            <c:strRef>
              <c:f>Len_Sel_D!$E$4</c:f>
              <c:strCache>
                <c:ptCount val="1"/>
                <c:pt idx="0">
                  <c:v>2019_2_Lsel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General</c:formatCode>
                <c:ptCount val="73"/>
                <c:pt idx="0">
                  <c:v>4.5</c:v>
                </c:pt>
                <c:pt idx="1">
                  <c:v>5.5</c:v>
                </c:pt>
                <c:pt idx="2">
                  <c:v>6.5</c:v>
                </c:pt>
                <c:pt idx="3">
                  <c:v>7.5</c:v>
                </c:pt>
                <c:pt idx="4">
                  <c:v>8.5</c:v>
                </c:pt>
                <c:pt idx="5">
                  <c:v>9.5</c:v>
                </c:pt>
                <c:pt idx="6">
                  <c:v>10.5</c:v>
                </c:pt>
                <c:pt idx="7">
                  <c:v>11.5</c:v>
                </c:pt>
                <c:pt idx="8">
                  <c:v>12.5</c:v>
                </c:pt>
                <c:pt idx="9">
                  <c:v>13.5</c:v>
                </c:pt>
                <c:pt idx="10">
                  <c:v>14.5</c:v>
                </c:pt>
                <c:pt idx="11">
                  <c:v>15.5</c:v>
                </c:pt>
                <c:pt idx="12">
                  <c:v>16.5</c:v>
                </c:pt>
                <c:pt idx="13">
                  <c:v>17.5</c:v>
                </c:pt>
                <c:pt idx="14">
                  <c:v>18.5</c:v>
                </c:pt>
                <c:pt idx="15">
                  <c:v>19.5</c:v>
                </c:pt>
                <c:pt idx="16">
                  <c:v>20.5</c:v>
                </c:pt>
                <c:pt idx="17">
                  <c:v>21.5</c:v>
                </c:pt>
                <c:pt idx="18">
                  <c:v>22.5</c:v>
                </c:pt>
                <c:pt idx="19">
                  <c:v>23.5</c:v>
                </c:pt>
                <c:pt idx="20">
                  <c:v>24.5</c:v>
                </c:pt>
                <c:pt idx="21">
                  <c:v>25.5</c:v>
                </c:pt>
                <c:pt idx="22">
                  <c:v>26.5</c:v>
                </c:pt>
                <c:pt idx="23">
                  <c:v>27.5</c:v>
                </c:pt>
                <c:pt idx="24">
                  <c:v>28.5</c:v>
                </c:pt>
                <c:pt idx="25">
                  <c:v>29.5</c:v>
                </c:pt>
                <c:pt idx="26">
                  <c:v>30.5</c:v>
                </c:pt>
                <c:pt idx="27">
                  <c:v>31.5</c:v>
                </c:pt>
                <c:pt idx="28">
                  <c:v>32.5</c:v>
                </c:pt>
                <c:pt idx="29">
                  <c:v>33.5</c:v>
                </c:pt>
                <c:pt idx="30">
                  <c:v>34.5</c:v>
                </c:pt>
                <c:pt idx="31">
                  <c:v>35.5</c:v>
                </c:pt>
                <c:pt idx="32">
                  <c:v>36.5</c:v>
                </c:pt>
                <c:pt idx="33">
                  <c:v>37.5</c:v>
                </c:pt>
                <c:pt idx="34">
                  <c:v>38.5</c:v>
                </c:pt>
                <c:pt idx="35">
                  <c:v>39.5</c:v>
                </c:pt>
                <c:pt idx="36">
                  <c:v>41</c:v>
                </c:pt>
                <c:pt idx="37">
                  <c:v>43</c:v>
                </c:pt>
                <c:pt idx="38">
                  <c:v>45</c:v>
                </c:pt>
                <c:pt idx="39">
                  <c:v>47</c:v>
                </c:pt>
                <c:pt idx="40">
                  <c:v>49</c:v>
                </c:pt>
                <c:pt idx="41">
                  <c:v>51</c:v>
                </c:pt>
                <c:pt idx="42">
                  <c:v>53</c:v>
                </c:pt>
                <c:pt idx="43">
                  <c:v>55</c:v>
                </c:pt>
                <c:pt idx="44">
                  <c:v>57</c:v>
                </c:pt>
                <c:pt idx="45">
                  <c:v>59</c:v>
                </c:pt>
                <c:pt idx="46">
                  <c:v>61</c:v>
                </c:pt>
                <c:pt idx="47">
                  <c:v>63</c:v>
                </c:pt>
                <c:pt idx="48">
                  <c:v>65</c:v>
                </c:pt>
                <c:pt idx="49">
                  <c:v>67</c:v>
                </c:pt>
                <c:pt idx="50">
                  <c:v>69</c:v>
                </c:pt>
                <c:pt idx="51">
                  <c:v>71</c:v>
                </c:pt>
                <c:pt idx="52">
                  <c:v>73</c:v>
                </c:pt>
                <c:pt idx="53">
                  <c:v>75</c:v>
                </c:pt>
                <c:pt idx="54">
                  <c:v>77</c:v>
                </c:pt>
                <c:pt idx="55">
                  <c:v>79</c:v>
                </c:pt>
                <c:pt idx="56">
                  <c:v>81</c:v>
                </c:pt>
                <c:pt idx="57">
                  <c:v>83</c:v>
                </c:pt>
                <c:pt idx="58">
                  <c:v>85</c:v>
                </c:pt>
                <c:pt idx="59">
                  <c:v>87</c:v>
                </c:pt>
                <c:pt idx="60">
                  <c:v>89</c:v>
                </c:pt>
                <c:pt idx="61">
                  <c:v>91</c:v>
                </c:pt>
                <c:pt idx="62">
                  <c:v>93</c:v>
                </c:pt>
                <c:pt idx="63">
                  <c:v>95</c:v>
                </c:pt>
                <c:pt idx="64">
                  <c:v>97</c:v>
                </c:pt>
                <c:pt idx="65">
                  <c:v>99</c:v>
                </c:pt>
                <c:pt idx="66">
                  <c:v>102.5</c:v>
                </c:pt>
                <c:pt idx="67">
                  <c:v>107.5</c:v>
                </c:pt>
                <c:pt idx="68">
                  <c:v>112.5</c:v>
                </c:pt>
                <c:pt idx="69">
                  <c:v>117.5</c:v>
                </c:pt>
                <c:pt idx="70">
                  <c:v>122.5</c:v>
                </c:pt>
                <c:pt idx="71">
                  <c:v>127.5</c:v>
                </c:pt>
                <c:pt idx="72">
                  <c:v>132.5</c:v>
                </c:pt>
              </c:numCache>
            </c:numRef>
          </c:xVal>
          <c:yVal>
            <c:numRef>
              <c:f>Len_Sel_D!$F$4:$BZ$4</c:f>
              <c:numCache>
                <c:formatCode>General</c:formatCode>
                <c:ptCount val="73"/>
                <c:pt idx="0">
                  <c:v>4.6944099999999997E-9</c:v>
                </c:pt>
                <c:pt idx="1">
                  <c:v>6.5025599999999999E-9</c:v>
                </c:pt>
                <c:pt idx="2">
                  <c:v>1.0010199999999999E-8</c:v>
                </c:pt>
                <c:pt idx="3">
                  <c:v>1.6744999999999999E-8</c:v>
                </c:pt>
                <c:pt idx="4">
                  <c:v>2.9530500000000001E-8</c:v>
                </c:pt>
                <c:pt idx="5">
                  <c:v>5.35177E-8</c:v>
                </c:pt>
                <c:pt idx="6">
                  <c:v>9.7978500000000006E-8</c:v>
                </c:pt>
                <c:pt idx="7">
                  <c:v>1.7938300000000001E-7</c:v>
                </c:pt>
                <c:pt idx="8">
                  <c:v>3.26597E-7</c:v>
                </c:pt>
                <c:pt idx="9">
                  <c:v>5.89541E-7</c:v>
                </c:pt>
                <c:pt idx="10">
                  <c:v>1.05338E-6</c:v>
                </c:pt>
                <c:pt idx="11">
                  <c:v>1.86146E-6</c:v>
                </c:pt>
                <c:pt idx="12">
                  <c:v>3.2517499999999998E-6</c:v>
                </c:pt>
                <c:pt idx="13">
                  <c:v>5.6139700000000004E-6</c:v>
                </c:pt>
                <c:pt idx="14">
                  <c:v>9.5774999999999994E-6</c:v>
                </c:pt>
                <c:pt idx="15">
                  <c:v>1.6144700000000001E-5</c:v>
                </c:pt>
                <c:pt idx="16">
                  <c:v>2.6889900000000002E-5</c:v>
                </c:pt>
                <c:pt idx="17">
                  <c:v>4.4250199999999999E-5</c:v>
                </c:pt>
                <c:pt idx="18">
                  <c:v>7.1945600000000005E-5</c:v>
                </c:pt>
                <c:pt idx="19">
                  <c:v>1.15572E-4</c:v>
                </c:pt>
                <c:pt idx="20">
                  <c:v>1.83425E-4</c:v>
                </c:pt>
                <c:pt idx="21">
                  <c:v>2.87621E-4</c:v>
                </c:pt>
                <c:pt idx="22">
                  <c:v>4.45594E-4</c:v>
                </c:pt>
                <c:pt idx="23">
                  <c:v>6.8204400000000003E-4</c:v>
                </c:pt>
                <c:pt idx="24">
                  <c:v>1.0314300000000001E-3</c:v>
                </c:pt>
                <c:pt idx="25">
                  <c:v>1.54108E-3</c:v>
                </c:pt>
                <c:pt idx="26">
                  <c:v>2.2748999999999998E-3</c:v>
                </c:pt>
                <c:pt idx="27">
                  <c:v>3.3178399999999999E-3</c:v>
                </c:pt>
                <c:pt idx="28">
                  <c:v>4.7808199999999999E-3</c:v>
                </c:pt>
                <c:pt idx="29">
                  <c:v>6.8062000000000001E-3</c:v>
                </c:pt>
                <c:pt idx="30">
                  <c:v>9.5732899999999999E-3</c:v>
                </c:pt>
                <c:pt idx="31">
                  <c:v>1.33037E-2</c:v>
                </c:pt>
                <c:pt idx="32">
                  <c:v>1.8265799999999999E-2</c:v>
                </c:pt>
                <c:pt idx="33">
                  <c:v>2.47776E-2</c:v>
                </c:pt>
                <c:pt idx="34">
                  <c:v>3.3207399999999998E-2</c:v>
                </c:pt>
                <c:pt idx="35">
                  <c:v>4.3970799999999997E-2</c:v>
                </c:pt>
                <c:pt idx="36">
                  <c:v>6.54975E-2</c:v>
                </c:pt>
                <c:pt idx="37">
                  <c:v>0.10681</c:v>
                </c:pt>
                <c:pt idx="38">
                  <c:v>0.165966</c:v>
                </c:pt>
                <c:pt idx="39">
                  <c:v>0.24572099999999999</c:v>
                </c:pt>
                <c:pt idx="40">
                  <c:v>0.34664600000000001</c:v>
                </c:pt>
                <c:pt idx="41">
                  <c:v>0.46595900000000001</c:v>
                </c:pt>
                <c:pt idx="42">
                  <c:v>0.59679899999999997</c:v>
                </c:pt>
                <c:pt idx="43">
                  <c:v>0.72832699999999995</c:v>
                </c:pt>
                <c:pt idx="44">
                  <c:v>0.84692199999999995</c:v>
                </c:pt>
                <c:pt idx="45">
                  <c:v>0.93838100000000002</c:v>
                </c:pt>
                <c:pt idx="46">
                  <c:v>0.99068000000000001</c:v>
                </c:pt>
                <c:pt idx="47">
                  <c:v>0.99999800000000005</c:v>
                </c:pt>
                <c:pt idx="48">
                  <c:v>0.99673</c:v>
                </c:pt>
                <c:pt idx="49">
                  <c:v>0.98511300000000002</c:v>
                </c:pt>
                <c:pt idx="50">
                  <c:v>0.96537799999999996</c:v>
                </c:pt>
                <c:pt idx="51">
                  <c:v>0.93802099999999999</c:v>
                </c:pt>
                <c:pt idx="52">
                  <c:v>0.90371299999999999</c:v>
                </c:pt>
                <c:pt idx="53">
                  <c:v>0.86328000000000005</c:v>
                </c:pt>
                <c:pt idx="54">
                  <c:v>0.81766700000000003</c:v>
                </c:pt>
                <c:pt idx="55">
                  <c:v>0.767899</c:v>
                </c:pt>
                <c:pt idx="56">
                  <c:v>0.71504800000000002</c:v>
                </c:pt>
                <c:pt idx="57">
                  <c:v>0.66019099999999997</c:v>
                </c:pt>
                <c:pt idx="58">
                  <c:v>0.604375</c:v>
                </c:pt>
                <c:pt idx="59">
                  <c:v>0.54858899999999999</c:v>
                </c:pt>
                <c:pt idx="60">
                  <c:v>0.493732</c:v>
                </c:pt>
                <c:pt idx="61">
                  <c:v>0.44059399999999999</c:v>
                </c:pt>
                <c:pt idx="62">
                  <c:v>0.38984200000000002</c:v>
                </c:pt>
                <c:pt idx="63">
                  <c:v>0.34201199999999998</c:v>
                </c:pt>
                <c:pt idx="64">
                  <c:v>0.29750799999999999</c:v>
                </c:pt>
                <c:pt idx="65">
                  <c:v>0.25660100000000002</c:v>
                </c:pt>
                <c:pt idx="66">
                  <c:v>0.19406300000000001</c:v>
                </c:pt>
                <c:pt idx="67">
                  <c:v>0.12445000000000001</c:v>
                </c:pt>
                <c:pt idx="68">
                  <c:v>7.5673400000000002E-2</c:v>
                </c:pt>
                <c:pt idx="69">
                  <c:v>4.3630099999999998E-2</c:v>
                </c:pt>
                <c:pt idx="70">
                  <c:v>2.3852000000000002E-2</c:v>
                </c:pt>
                <c:pt idx="71">
                  <c:v>1.2364E-2</c:v>
                </c:pt>
                <c:pt idx="72">
                  <c:v>6.0769600000000002E-3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C-46E4-AB04-7B1C3F94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46656"/>
        <c:axId val="147848192"/>
      </c:scatterChart>
      <c:valAx>
        <c:axId val="1478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48192"/>
        <c:crosses val="autoZero"/>
        <c:crossBetween val="midCat"/>
      </c:valAx>
      <c:valAx>
        <c:axId val="147848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784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634333989501316"/>
          <c:y val="0.38283579038601484"/>
          <c:w val="0.17932706642324314"/>
          <c:h val="0.6171643730859284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Age_Sel_D!$G$3</c:f>
              <c:strCache>
                <c:ptCount val="1"/>
                <c:pt idx="0">
                  <c:v>1968_1Asel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Age_Sel_D!$H$3:$R$3</c:f>
              <c:numCache>
                <c:formatCode>General</c:formatCode>
                <c:ptCount val="11"/>
                <c:pt idx="0">
                  <c:v>2.6431499999999999E-3</c:v>
                </c:pt>
                <c:pt idx="1">
                  <c:v>0.256803</c:v>
                </c:pt>
                <c:pt idx="2">
                  <c:v>1</c:v>
                </c:pt>
                <c:pt idx="3">
                  <c:v>0.87646500000000005</c:v>
                </c:pt>
                <c:pt idx="4">
                  <c:v>0.43300100000000002</c:v>
                </c:pt>
                <c:pt idx="5">
                  <c:v>0.223722</c:v>
                </c:pt>
                <c:pt idx="6">
                  <c:v>0.223722</c:v>
                </c:pt>
                <c:pt idx="7">
                  <c:v>0.223722</c:v>
                </c:pt>
                <c:pt idx="8">
                  <c:v>0.223722</c:v>
                </c:pt>
                <c:pt idx="9">
                  <c:v>0.223722</c:v>
                </c:pt>
                <c:pt idx="10">
                  <c:v>0.223722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7-4F87-9EA2-FC4131D060B6}"/>
            </c:ext>
          </c:extLst>
        </c:ser>
        <c:ser>
          <c:idx val="1"/>
          <c:order val="1"/>
          <c:tx>
            <c:strRef>
              <c:f>Age_Sel_D!$G$4</c:f>
              <c:strCache>
                <c:ptCount val="1"/>
                <c:pt idx="0">
                  <c:v>1968_2Asel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Age_Sel_D!$H$4:$R$4</c:f>
              <c:numCache>
                <c:formatCode>General</c:formatCode>
                <c:ptCount val="11"/>
                <c:pt idx="0">
                  <c:v>4.1819500000000003E-2</c:v>
                </c:pt>
                <c:pt idx="1">
                  <c:v>0.113677</c:v>
                </c:pt>
                <c:pt idx="2">
                  <c:v>1</c:v>
                </c:pt>
                <c:pt idx="3">
                  <c:v>0.54336099999999998</c:v>
                </c:pt>
                <c:pt idx="4">
                  <c:v>0.17843500000000001</c:v>
                </c:pt>
                <c:pt idx="5">
                  <c:v>0.13073799999999999</c:v>
                </c:pt>
                <c:pt idx="6">
                  <c:v>0.13073799999999999</c:v>
                </c:pt>
                <c:pt idx="7">
                  <c:v>0.13073799999999999</c:v>
                </c:pt>
                <c:pt idx="8">
                  <c:v>0.13073799999999999</c:v>
                </c:pt>
                <c:pt idx="9">
                  <c:v>0.13073799999999999</c:v>
                </c:pt>
                <c:pt idx="10">
                  <c:v>0.13073799999999999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7-4F87-9EA2-FC4131D060B6}"/>
            </c:ext>
          </c:extLst>
        </c:ser>
        <c:ser>
          <c:idx val="2"/>
          <c:order val="2"/>
          <c:tx>
            <c:strRef>
              <c:f>Age_Sel_D!$G$5</c:f>
              <c:strCache>
                <c:ptCount val="1"/>
                <c:pt idx="0">
                  <c:v>1968_3Asel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Age_Sel_D!$H$5:$R$5</c:f>
              <c:numCache>
                <c:formatCode>General</c:formatCode>
                <c:ptCount val="11"/>
                <c:pt idx="0">
                  <c:v>0.243141</c:v>
                </c:pt>
                <c:pt idx="1">
                  <c:v>1</c:v>
                </c:pt>
                <c:pt idx="2">
                  <c:v>0.60825099999999999</c:v>
                </c:pt>
                <c:pt idx="3">
                  <c:v>0.36146499999999998</c:v>
                </c:pt>
                <c:pt idx="4">
                  <c:v>0.246977</c:v>
                </c:pt>
                <c:pt idx="5">
                  <c:v>8.1202200000000002E-2</c:v>
                </c:pt>
                <c:pt idx="6">
                  <c:v>4.92516E-2</c:v>
                </c:pt>
                <c:pt idx="7">
                  <c:v>4.92516E-2</c:v>
                </c:pt>
                <c:pt idx="8">
                  <c:v>4.92516E-2</c:v>
                </c:pt>
                <c:pt idx="9">
                  <c:v>4.92516E-2</c:v>
                </c:pt>
                <c:pt idx="10">
                  <c:v>4.92516E-2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7-4F87-9EA2-FC4131D060B6}"/>
            </c:ext>
          </c:extLst>
        </c:ser>
        <c:ser>
          <c:idx val="3"/>
          <c:order val="3"/>
          <c:tx>
            <c:strRef>
              <c:f>Age_Sel_D!$G$6</c:f>
              <c:strCache>
                <c:ptCount val="1"/>
                <c:pt idx="0">
                  <c:v>1968_4Asel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Age_Sel_D!$H$6:$R$6</c:f>
              <c:numCache>
                <c:formatCode>General</c:formatCode>
                <c:ptCount val="11"/>
                <c:pt idx="0">
                  <c:v>2.3734899999999998E-9</c:v>
                </c:pt>
                <c:pt idx="1">
                  <c:v>7.7589699999999996E-3</c:v>
                </c:pt>
                <c:pt idx="2">
                  <c:v>0.143931</c:v>
                </c:pt>
                <c:pt idx="3">
                  <c:v>1</c:v>
                </c:pt>
                <c:pt idx="4">
                  <c:v>0.52554100000000004</c:v>
                </c:pt>
                <c:pt idx="5">
                  <c:v>0.31875700000000001</c:v>
                </c:pt>
                <c:pt idx="6">
                  <c:v>0.19333600000000001</c:v>
                </c:pt>
                <c:pt idx="7">
                  <c:v>0.19333600000000001</c:v>
                </c:pt>
                <c:pt idx="8">
                  <c:v>0.19333600000000001</c:v>
                </c:pt>
                <c:pt idx="9">
                  <c:v>0.19333600000000001</c:v>
                </c:pt>
                <c:pt idx="10">
                  <c:v>0.19333600000000001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7-4F87-9EA2-FC4131D0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50528"/>
        <c:axId val="153352064"/>
      </c:scatterChart>
      <c:valAx>
        <c:axId val="15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352064"/>
        <c:crosses val="autoZero"/>
        <c:crossBetween val="midCat"/>
      </c:valAx>
      <c:valAx>
        <c:axId val="1533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350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Wt.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BODYWT!$P$4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BODYWT!$B$5:$B$7</c:f>
              <c:numCache>
                <c:formatCode>General</c:formatCode>
                <c:ptCount val="3"/>
              </c:numCache>
            </c:numRef>
          </c:xVal>
          <c:yVal>
            <c:numRef>
              <c:f>BODYWT!$P$5:$P$7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C-4922-A62E-F6CB23C31C15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BODYWT!OBS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C-4922-A62E-F6CB23C31C1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C-4922-A62E-F6CB23C31C1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BODYWT!se2_hi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C-4922-A62E-F6CB23C31C15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BODYWT!Exp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C-4922-A62E-F6CB23C31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17664"/>
        <c:axId val="153223552"/>
      </c:scatterChart>
      <c:valAx>
        <c:axId val="1532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23552"/>
        <c:crosses val="autoZero"/>
        <c:crossBetween val="midCat"/>
      </c:valAx>
      <c:valAx>
        <c:axId val="1532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21766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77" r="0.75000000000000477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0307827763615"/>
          <c:y val="4.3411625037253432E-2"/>
          <c:w val="0.78981850198661241"/>
          <c:h val="0.82958592670497511"/>
        </c:manualLayout>
      </c:layout>
      <c:scatterChart>
        <c:scatterStyle val="lineMarker"/>
        <c:varyColors val="0"/>
        <c:ser>
          <c:idx val="1"/>
          <c:order val="1"/>
          <c:tx>
            <c:v>Apical_F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Annual_F!Apical_F</c:f>
              <c:numCache>
                <c:formatCode>0.00</c:formatCode>
                <c:ptCount val="2"/>
                <c:pt idx="0">
                  <c:v>0.18984799999999999</c:v>
                </c:pt>
                <c:pt idx="1">
                  <c:v>0.239395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05152"/>
        <c:axId val="153511040"/>
      </c:scatterChart>
      <c:scatterChart>
        <c:scatterStyle val="lineMarker"/>
        <c:varyColors val="0"/>
        <c:ser>
          <c:idx val="0"/>
          <c:order val="0"/>
          <c:tx>
            <c:v>Ave_F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Annual_F!Ave_F</c:f>
              <c:numCache>
                <c:formatCode>0.00</c:formatCode>
                <c:ptCount val="2"/>
                <c:pt idx="0">
                  <c:v>0.16844583333333332</c:v>
                </c:pt>
                <c:pt idx="1">
                  <c:v>0.21240699999999998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18464"/>
        <c:axId val="153512576"/>
      </c:scatterChart>
      <c:valAx>
        <c:axId val="1535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11040"/>
        <c:crosses val="autoZero"/>
        <c:crossBetween val="midCat"/>
      </c:valAx>
      <c:valAx>
        <c:axId val="153511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3505152"/>
        <c:crosses val="autoZero"/>
        <c:crossBetween val="midCat"/>
      </c:valAx>
      <c:valAx>
        <c:axId val="15351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3518464"/>
        <c:crosses val="max"/>
        <c:crossBetween val="midCat"/>
      </c:valAx>
      <c:valAx>
        <c:axId val="1535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12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833865512032"/>
          <c:y val="6.1748004325091234E-2"/>
          <c:w val="0.18181185950482359"/>
          <c:h val="0.14141090090467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1</c:v>
                </c:pt>
                <c:pt idx="1">
                  <c:v>0.97646500000000003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28192"/>
        <c:axId val="153529728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37152"/>
        <c:axId val="153535616"/>
      </c:scatterChart>
      <c:valAx>
        <c:axId val="15352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29728"/>
        <c:crosses val="autoZero"/>
        <c:crossBetween val="midCat"/>
      </c:valAx>
      <c:valAx>
        <c:axId val="153529728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53528192"/>
        <c:crosses val="autoZero"/>
        <c:crossBetween val="midCat"/>
      </c:valAx>
      <c:valAx>
        <c:axId val="153535616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53537152"/>
        <c:crosses val="max"/>
        <c:crossBetween val="midCat"/>
      </c:valAx>
      <c:valAx>
        <c:axId val="15353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3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266700</xdr:colOff>
          <xdr:row>2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Rows to Agecomp Display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488155</xdr:colOff>
      <xdr:row>29</xdr:row>
      <xdr:rowOff>0</xdr:rowOff>
    </xdr:from>
    <xdr:to>
      <xdr:col>15</xdr:col>
      <xdr:colOff>821530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114300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114300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9525</xdr:rowOff>
        </xdr:from>
        <xdr:to>
          <xdr:col>3</xdr:col>
          <xdr:colOff>9525</xdr:colOff>
          <xdr:row>26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Clean_Up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433917</xdr:colOff>
      <xdr:row>0</xdr:row>
      <xdr:rowOff>105834</xdr:rowOff>
    </xdr:from>
    <xdr:to>
      <xdr:col>11</xdr:col>
      <xdr:colOff>402166</xdr:colOff>
      <xdr:row>1</xdr:row>
      <xdr:rowOff>645583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52915</xdr:colOff>
      <xdr:row>0</xdr:row>
      <xdr:rowOff>94191</xdr:rowOff>
    </xdr:from>
    <xdr:to>
      <xdr:col>23</xdr:col>
      <xdr:colOff>455083</xdr:colOff>
      <xdr:row>1</xdr:row>
      <xdr:rowOff>687916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223837</xdr:colOff>
      <xdr:row>0</xdr:row>
      <xdr:rowOff>59531</xdr:rowOff>
    </xdr:from>
    <xdr:to>
      <xdr:col>20</xdr:col>
      <xdr:colOff>297656</xdr:colOff>
      <xdr:row>1</xdr:row>
      <xdr:rowOff>4200525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561974</xdr:colOff>
      <xdr:row>0</xdr:row>
      <xdr:rowOff>276225</xdr:rowOff>
    </xdr:from>
    <xdr:to>
      <xdr:col>13</xdr:col>
      <xdr:colOff>266699</xdr:colOff>
      <xdr:row>0</xdr:row>
      <xdr:rowOff>3019425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7</xdr:col>
      <xdr:colOff>171450</xdr:colOff>
      <xdr:row>0</xdr:row>
      <xdr:rowOff>2581275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152400</xdr:colOff>
      <xdr:row>0</xdr:row>
      <xdr:rowOff>2543175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5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590549</xdr:colOff>
      <xdr:row>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4</xdr:col>
      <xdr:colOff>590549</xdr:colOff>
      <xdr:row>1</xdr:row>
      <xdr:rowOff>1514475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9</xdr:col>
      <xdr:colOff>590549</xdr:colOff>
      <xdr:row>1</xdr:row>
      <xdr:rowOff>1514475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590550</xdr:colOff>
      <xdr:row>0</xdr:row>
      <xdr:rowOff>2076450</xdr:rowOff>
    </xdr:from>
    <xdr:to>
      <xdr:col>41</xdr:col>
      <xdr:colOff>95250</xdr:colOff>
      <xdr:row>1</xdr:row>
      <xdr:rowOff>2076450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0</xdr:rowOff>
    </xdr:from>
    <xdr:to>
      <xdr:col>22</xdr:col>
      <xdr:colOff>590550</xdr:colOff>
      <xdr:row>1</xdr:row>
      <xdr:rowOff>0</xdr:rowOff>
    </xdr:to>
    <xdr:graphicFrame macro="">
      <xdr:nvGraphicFramePr>
        <xdr:cNvPr id="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1</xdr:rowOff>
    </xdr:from>
    <xdr:to>
      <xdr:col>22</xdr:col>
      <xdr:colOff>623454</xdr:colOff>
      <xdr:row>1</xdr:row>
      <xdr:rowOff>3844637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0</xdr:colOff>
      <xdr:row>2</xdr:row>
      <xdr:rowOff>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81643</xdr:colOff>
      <xdr:row>0</xdr:row>
      <xdr:rowOff>28576</xdr:rowOff>
    </xdr:from>
    <xdr:to>
      <xdr:col>11</xdr:col>
      <xdr:colOff>503464</xdr:colOff>
      <xdr:row>32</xdr:row>
      <xdr:rowOff>27215</xdr:rowOff>
    </xdr:to>
    <xdr:graphicFrame macro="">
      <xdr:nvGraphicFramePr>
        <xdr:cNvPr id="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108856</xdr:colOff>
      <xdr:row>0</xdr:row>
      <xdr:rowOff>0</xdr:rowOff>
    </xdr:from>
    <xdr:to>
      <xdr:col>24</xdr:col>
      <xdr:colOff>473528</xdr:colOff>
      <xdr:row>34</xdr:row>
      <xdr:rowOff>115660</xdr:rowOff>
    </xdr:to>
    <xdr:graphicFrame macro="">
      <xdr:nvGraphicFramePr>
        <xdr:cNvPr id="3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557894</xdr:colOff>
      <xdr:row>0</xdr:row>
      <xdr:rowOff>68036</xdr:rowOff>
    </xdr:from>
    <xdr:to>
      <xdr:col>37</xdr:col>
      <xdr:colOff>310244</xdr:colOff>
      <xdr:row>35</xdr:row>
      <xdr:rowOff>20411</xdr:rowOff>
    </xdr:to>
    <xdr:graphicFrame macro="">
      <xdr:nvGraphicFramePr>
        <xdr:cNvPr id="4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8</xdr:col>
          <xdr:colOff>323850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Len_Sel_D(isplay)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8</xdr:col>
          <xdr:colOff>28575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Age_Sel_D(isplay)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247650</xdr:rowOff>
    </xdr:from>
    <xdr:to>
      <xdr:col>9</xdr:col>
      <xdr:colOff>533400</xdr:colOff>
      <xdr:row>0</xdr:row>
      <xdr:rowOff>2990850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8</xdr:col>
      <xdr:colOff>238124</xdr:colOff>
      <xdr:row>0</xdr:row>
      <xdr:rowOff>3276599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0</xdr:row>
      <xdr:rowOff>28575</xdr:rowOff>
    </xdr:from>
    <xdr:to>
      <xdr:col>15</xdr:col>
      <xdr:colOff>371475</xdr:colOff>
      <xdr:row>0</xdr:row>
      <xdr:rowOff>3286125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6</xdr:col>
          <xdr:colOff>85725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mpReport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1" growShrinkType="overwriteClear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R33"/>
  <sheetViews>
    <sheetView zoomScale="80" zoomScaleNormal="80" workbookViewId="0"/>
  </sheetViews>
  <sheetFormatPr defaultRowHeight="15" x14ac:dyDescent="0.25"/>
  <cols>
    <col min="1" max="1" width="27.42578125" style="16" customWidth="1"/>
    <col min="2" max="2" width="20" style="16" customWidth="1"/>
    <col min="3" max="3" width="7.7109375" style="16" customWidth="1"/>
    <col min="4" max="4" width="6" style="16" customWidth="1"/>
    <col min="5" max="5" width="12" style="16" bestFit="1" customWidth="1"/>
    <col min="6" max="6" width="11.140625" style="16" bestFit="1" customWidth="1"/>
    <col min="7" max="7" width="10.28515625" style="16" bestFit="1" customWidth="1"/>
    <col min="8" max="8" width="7.42578125" style="16" customWidth="1"/>
    <col min="9" max="9" width="7.5703125" style="16" customWidth="1"/>
    <col min="10" max="10" width="8.7109375" style="16" customWidth="1"/>
    <col min="11" max="11" width="7.42578125" style="16" customWidth="1"/>
    <col min="12" max="12" width="6" style="16" customWidth="1"/>
    <col min="13" max="13" width="9" style="16" customWidth="1"/>
    <col min="14" max="14" width="12.140625" style="16" bestFit="1" customWidth="1"/>
    <col min="15" max="15" width="12.85546875" style="16" bestFit="1" customWidth="1"/>
    <col min="16" max="17" width="8" style="16" customWidth="1"/>
    <col min="18" max="18" width="12.85546875" style="16" bestFit="1" customWidth="1"/>
    <col min="19" max="19" width="13.7109375" style="16" bestFit="1" customWidth="1"/>
    <col min="20" max="20" width="12.140625" style="16" bestFit="1" customWidth="1"/>
    <col min="21" max="1246" width="6" style="16" customWidth="1"/>
    <col min="1247" max="16384" width="9.140625" style="16"/>
  </cols>
  <sheetData>
    <row r="2" spans="1:44" x14ac:dyDescent="0.25">
      <c r="F2" s="21" t="s">
        <v>141</v>
      </c>
    </row>
    <row r="4" spans="1:44" x14ac:dyDescent="0.25">
      <c r="A4" s="16" t="s">
        <v>257</v>
      </c>
      <c r="B4" s="16">
        <v>1</v>
      </c>
      <c r="C4" s="16" t="s">
        <v>249</v>
      </c>
    </row>
    <row r="5" spans="1:44" x14ac:dyDescent="0.25">
      <c r="A5" s="16" t="s">
        <v>88</v>
      </c>
      <c r="B5" s="16" t="s">
        <v>258</v>
      </c>
      <c r="C5" s="16" t="s">
        <v>259</v>
      </c>
      <c r="D5" s="16">
        <v>2</v>
      </c>
      <c r="E5" s="16">
        <v>0.38138888888888883</v>
      </c>
      <c r="F5" s="16">
        <v>2022</v>
      </c>
    </row>
    <row r="7" spans="1:44" x14ac:dyDescent="0.25">
      <c r="A7" s="16" t="s">
        <v>156</v>
      </c>
    </row>
    <row r="8" spans="1:44" x14ac:dyDescent="0.25">
      <c r="A8" s="16" t="s">
        <v>75</v>
      </c>
      <c r="B8" s="16">
        <v>1</v>
      </c>
      <c r="C8" s="16">
        <v>2</v>
      </c>
      <c r="D8" s="16">
        <v>3</v>
      </c>
      <c r="E8" s="16">
        <v>4</v>
      </c>
      <c r="F8" s="16">
        <v>5</v>
      </c>
      <c r="G8" s="16">
        <v>6</v>
      </c>
      <c r="H8" s="16">
        <v>7</v>
      </c>
      <c r="I8" s="16">
        <v>8</v>
      </c>
      <c r="J8" s="16">
        <v>9</v>
      </c>
      <c r="K8" s="16">
        <v>10</v>
      </c>
      <c r="L8" s="16">
        <v>11</v>
      </c>
      <c r="M8" s="16">
        <v>12</v>
      </c>
      <c r="N8" s="16">
        <v>13</v>
      </c>
      <c r="O8" s="16">
        <v>14</v>
      </c>
      <c r="P8" s="16">
        <v>15</v>
      </c>
      <c r="Q8" s="16">
        <v>16</v>
      </c>
      <c r="R8" s="16">
        <v>17</v>
      </c>
      <c r="S8" s="16">
        <v>18</v>
      </c>
      <c r="T8" s="16">
        <v>19</v>
      </c>
      <c r="U8" s="16">
        <v>20</v>
      </c>
      <c r="V8" s="16">
        <v>21</v>
      </c>
      <c r="W8" s="16">
        <v>22</v>
      </c>
      <c r="X8" s="16">
        <v>23</v>
      </c>
      <c r="Y8" s="16">
        <v>24</v>
      </c>
      <c r="Z8" s="16">
        <v>25</v>
      </c>
      <c r="AA8" s="16">
        <v>26</v>
      </c>
      <c r="AB8" s="16">
        <v>27</v>
      </c>
      <c r="AC8" s="16">
        <v>28</v>
      </c>
      <c r="AD8" s="16">
        <v>29</v>
      </c>
      <c r="AE8" s="16">
        <v>30</v>
      </c>
      <c r="AF8" s="16">
        <v>31</v>
      </c>
      <c r="AG8" s="16">
        <v>32</v>
      </c>
      <c r="AH8" s="16">
        <v>33</v>
      </c>
      <c r="AI8" s="16">
        <v>34</v>
      </c>
      <c r="AJ8" s="16">
        <v>35</v>
      </c>
      <c r="AK8" s="16">
        <v>36</v>
      </c>
      <c r="AL8" s="16">
        <v>37</v>
      </c>
      <c r="AM8" s="16">
        <v>38</v>
      </c>
      <c r="AN8" s="16">
        <v>39</v>
      </c>
      <c r="AO8" s="16">
        <v>40</v>
      </c>
      <c r="AP8" s="16">
        <v>41</v>
      </c>
      <c r="AQ8" s="16">
        <v>42</v>
      </c>
      <c r="AR8" s="16">
        <v>43</v>
      </c>
    </row>
    <row r="9" spans="1:44" x14ac:dyDescent="0.25">
      <c r="A9" s="16" t="s">
        <v>48</v>
      </c>
      <c r="B9" s="16">
        <v>10</v>
      </c>
      <c r="C9" s="16">
        <v>12</v>
      </c>
      <c r="D9" s="16">
        <v>14</v>
      </c>
      <c r="E9" s="16">
        <v>16</v>
      </c>
      <c r="F9" s="16">
        <v>18</v>
      </c>
      <c r="G9" s="16">
        <v>20</v>
      </c>
      <c r="H9" s="16">
        <v>22</v>
      </c>
      <c r="I9" s="16">
        <v>24</v>
      </c>
      <c r="J9" s="16">
        <v>26</v>
      </c>
      <c r="K9" s="16">
        <v>28</v>
      </c>
      <c r="L9" s="16">
        <v>30</v>
      </c>
      <c r="M9" s="16">
        <v>32</v>
      </c>
      <c r="N9" s="16">
        <v>34</v>
      </c>
      <c r="O9" s="16">
        <v>36</v>
      </c>
      <c r="P9" s="16">
        <v>38</v>
      </c>
      <c r="Q9" s="16">
        <v>40</v>
      </c>
      <c r="R9" s="16">
        <v>42</v>
      </c>
      <c r="S9" s="16">
        <v>44</v>
      </c>
      <c r="T9" s="16">
        <v>46</v>
      </c>
      <c r="U9" s="16">
        <v>48</v>
      </c>
      <c r="V9" s="16">
        <v>50</v>
      </c>
      <c r="W9" s="16">
        <v>52</v>
      </c>
      <c r="X9" s="16">
        <v>54</v>
      </c>
      <c r="Y9" s="16">
        <v>56</v>
      </c>
      <c r="Z9" s="16">
        <v>58</v>
      </c>
      <c r="AA9" s="16">
        <v>60</v>
      </c>
      <c r="AB9" s="16">
        <v>62</v>
      </c>
      <c r="AC9" s="16">
        <v>64</v>
      </c>
      <c r="AD9" s="16">
        <v>66</v>
      </c>
      <c r="AE9" s="16">
        <v>68</v>
      </c>
      <c r="AF9" s="16">
        <v>70</v>
      </c>
      <c r="AG9" s="16">
        <v>72</v>
      </c>
      <c r="AH9" s="16">
        <v>74</v>
      </c>
      <c r="AI9" s="16">
        <v>76</v>
      </c>
      <c r="AJ9" s="16">
        <v>78</v>
      </c>
      <c r="AK9" s="16">
        <v>80</v>
      </c>
      <c r="AL9" s="16">
        <v>82</v>
      </c>
      <c r="AM9" s="16">
        <v>84</v>
      </c>
      <c r="AN9" s="16">
        <v>86</v>
      </c>
      <c r="AO9" s="16">
        <v>88</v>
      </c>
      <c r="AP9" s="16">
        <v>90</v>
      </c>
      <c r="AQ9" s="16">
        <v>92</v>
      </c>
      <c r="AR9" s="16">
        <v>94</v>
      </c>
    </row>
    <row r="10" spans="1:44" x14ac:dyDescent="0.25">
      <c r="A10" s="16" t="s">
        <v>49</v>
      </c>
      <c r="B10" s="16">
        <v>11</v>
      </c>
      <c r="C10" s="16">
        <v>13</v>
      </c>
      <c r="D10" s="16">
        <v>15</v>
      </c>
      <c r="E10" s="16">
        <v>17</v>
      </c>
      <c r="F10" s="16">
        <v>19</v>
      </c>
      <c r="G10" s="16">
        <v>21</v>
      </c>
      <c r="H10" s="16">
        <v>23</v>
      </c>
      <c r="I10" s="16">
        <v>25</v>
      </c>
      <c r="J10" s="16">
        <v>27</v>
      </c>
      <c r="K10" s="16">
        <v>29</v>
      </c>
      <c r="L10" s="16">
        <v>31</v>
      </c>
      <c r="M10" s="16">
        <v>33</v>
      </c>
      <c r="N10" s="16">
        <v>35</v>
      </c>
      <c r="O10" s="16">
        <v>37</v>
      </c>
      <c r="P10" s="16">
        <v>39</v>
      </c>
      <c r="Q10" s="16">
        <v>41</v>
      </c>
      <c r="R10" s="16">
        <v>43</v>
      </c>
      <c r="S10" s="16">
        <v>45</v>
      </c>
      <c r="T10" s="16">
        <v>47</v>
      </c>
      <c r="U10" s="16">
        <v>49</v>
      </c>
      <c r="V10" s="16">
        <v>51</v>
      </c>
      <c r="W10" s="16">
        <v>53</v>
      </c>
      <c r="X10" s="16">
        <v>55</v>
      </c>
      <c r="Y10" s="16">
        <v>57</v>
      </c>
      <c r="Z10" s="16">
        <v>59</v>
      </c>
      <c r="AA10" s="16">
        <v>61</v>
      </c>
      <c r="AB10" s="16">
        <v>63</v>
      </c>
      <c r="AC10" s="16">
        <v>65</v>
      </c>
      <c r="AD10" s="16">
        <v>67</v>
      </c>
      <c r="AE10" s="16">
        <v>69</v>
      </c>
      <c r="AF10" s="16">
        <v>71</v>
      </c>
      <c r="AG10" s="16">
        <v>73</v>
      </c>
      <c r="AH10" s="16">
        <v>75</v>
      </c>
      <c r="AI10" s="16">
        <v>77</v>
      </c>
      <c r="AJ10" s="16">
        <v>79</v>
      </c>
      <c r="AK10" s="16">
        <v>81</v>
      </c>
      <c r="AL10" s="16">
        <v>83</v>
      </c>
      <c r="AM10" s="16">
        <v>85</v>
      </c>
      <c r="AN10" s="16">
        <v>87</v>
      </c>
      <c r="AO10" s="16">
        <v>89</v>
      </c>
      <c r="AP10" s="16">
        <v>91</v>
      </c>
      <c r="AQ10" s="16">
        <v>93</v>
      </c>
      <c r="AR10" s="16">
        <v>95</v>
      </c>
    </row>
    <row r="11" spans="1:44" x14ac:dyDescent="0.25">
      <c r="A11" s="16" t="s">
        <v>157</v>
      </c>
    </row>
    <row r="12" spans="1:44" x14ac:dyDescent="0.25">
      <c r="A12" s="16" t="s">
        <v>76</v>
      </c>
      <c r="B12" s="16">
        <v>1</v>
      </c>
      <c r="C12" s="16">
        <v>2</v>
      </c>
      <c r="D12" s="16">
        <v>3</v>
      </c>
      <c r="E12" s="16">
        <v>4</v>
      </c>
      <c r="F12" s="16">
        <v>5</v>
      </c>
      <c r="G12" s="16">
        <v>6</v>
      </c>
      <c r="H12" s="16">
        <v>7</v>
      </c>
      <c r="I12" s="16">
        <v>8</v>
      </c>
      <c r="J12" s="16">
        <v>9</v>
      </c>
      <c r="K12" s="16">
        <v>10</v>
      </c>
      <c r="L12" s="16">
        <v>11</v>
      </c>
      <c r="M12" s="16">
        <v>12</v>
      </c>
      <c r="N12" s="16">
        <v>13</v>
      </c>
      <c r="O12" s="16">
        <v>14</v>
      </c>
      <c r="P12" s="16">
        <v>15</v>
      </c>
      <c r="Q12" s="16">
        <v>16</v>
      </c>
      <c r="R12" s="16">
        <v>17</v>
      </c>
      <c r="S12" s="16">
        <v>18</v>
      </c>
      <c r="T12" s="16">
        <v>19</v>
      </c>
      <c r="U12" s="16">
        <v>20</v>
      </c>
      <c r="V12" s="16">
        <v>21</v>
      </c>
      <c r="W12" s="16">
        <v>22</v>
      </c>
      <c r="X12" s="16">
        <v>23</v>
      </c>
      <c r="Y12" s="16">
        <v>24</v>
      </c>
      <c r="Z12" s="16">
        <v>25</v>
      </c>
    </row>
    <row r="13" spans="1:44" x14ac:dyDescent="0.25">
      <c r="A13" s="16" t="s">
        <v>48</v>
      </c>
      <c r="B13" s="16">
        <v>26</v>
      </c>
      <c r="C13" s="16">
        <v>28</v>
      </c>
      <c r="D13" s="16">
        <v>30</v>
      </c>
      <c r="E13" s="16">
        <v>32</v>
      </c>
      <c r="F13" s="16">
        <v>34</v>
      </c>
      <c r="G13" s="16">
        <v>36</v>
      </c>
      <c r="H13" s="16">
        <v>38</v>
      </c>
      <c r="I13" s="16">
        <v>40</v>
      </c>
      <c r="J13" s="16">
        <v>42</v>
      </c>
      <c r="K13" s="16">
        <v>44</v>
      </c>
      <c r="L13" s="16">
        <v>46</v>
      </c>
      <c r="M13" s="16">
        <v>48</v>
      </c>
      <c r="N13" s="16">
        <v>50</v>
      </c>
      <c r="O13" s="16">
        <v>52</v>
      </c>
      <c r="P13" s="16">
        <v>54</v>
      </c>
      <c r="Q13" s="16">
        <v>56</v>
      </c>
      <c r="R13" s="16">
        <v>58</v>
      </c>
      <c r="S13" s="16">
        <v>60</v>
      </c>
      <c r="T13" s="16">
        <v>62</v>
      </c>
      <c r="U13" s="16">
        <v>64</v>
      </c>
      <c r="V13" s="16">
        <v>68</v>
      </c>
      <c r="W13" s="16">
        <v>72</v>
      </c>
      <c r="X13" s="16">
        <v>76</v>
      </c>
      <c r="Y13" s="16">
        <v>80</v>
      </c>
      <c r="Z13" s="16">
        <v>90</v>
      </c>
    </row>
    <row r="14" spans="1:44" x14ac:dyDescent="0.25">
      <c r="A14" s="16" t="s">
        <v>49</v>
      </c>
      <c r="B14" s="16">
        <v>27</v>
      </c>
      <c r="C14" s="16">
        <v>29</v>
      </c>
      <c r="D14" s="16">
        <v>31</v>
      </c>
      <c r="E14" s="16">
        <v>33</v>
      </c>
      <c r="F14" s="16">
        <v>35</v>
      </c>
      <c r="G14" s="16">
        <v>37</v>
      </c>
      <c r="H14" s="16">
        <v>39</v>
      </c>
      <c r="I14" s="16">
        <v>41</v>
      </c>
      <c r="J14" s="16">
        <v>43</v>
      </c>
      <c r="K14" s="16">
        <v>45</v>
      </c>
      <c r="L14" s="16">
        <v>47</v>
      </c>
      <c r="M14" s="16">
        <v>49</v>
      </c>
      <c r="N14" s="16">
        <v>51</v>
      </c>
      <c r="O14" s="16">
        <v>53</v>
      </c>
      <c r="P14" s="16">
        <v>55</v>
      </c>
      <c r="Q14" s="16">
        <v>57</v>
      </c>
      <c r="R14" s="16">
        <v>59</v>
      </c>
      <c r="S14" s="16">
        <v>61</v>
      </c>
      <c r="T14" s="16">
        <v>63</v>
      </c>
      <c r="U14" s="16">
        <v>66</v>
      </c>
      <c r="V14" s="16">
        <v>70</v>
      </c>
      <c r="W14" s="16">
        <v>74</v>
      </c>
      <c r="X14" s="16">
        <v>78</v>
      </c>
      <c r="Y14" s="16">
        <v>85</v>
      </c>
      <c r="Z14" s="16">
        <v>95</v>
      </c>
    </row>
    <row r="15" spans="1:44" x14ac:dyDescent="0.25">
      <c r="A15" s="16" t="s">
        <v>200</v>
      </c>
      <c r="B15" s="16">
        <v>0</v>
      </c>
      <c r="C15" s="16">
        <v>0</v>
      </c>
      <c r="D15" s="16">
        <v>0</v>
      </c>
    </row>
    <row r="16" spans="1:44" x14ac:dyDescent="0.25">
      <c r="A16" s="16" t="s">
        <v>201</v>
      </c>
      <c r="B16" s="16">
        <v>1</v>
      </c>
      <c r="C16" s="16">
        <v>1</v>
      </c>
      <c r="D16" s="16">
        <v>1</v>
      </c>
    </row>
    <row r="18" spans="1:25" x14ac:dyDescent="0.25">
      <c r="A18" s="16" t="s">
        <v>50</v>
      </c>
      <c r="B18" s="16">
        <v>1</v>
      </c>
    </row>
    <row r="19" spans="1:25" x14ac:dyDescent="0.25">
      <c r="A19" s="16" t="s">
        <v>217</v>
      </c>
    </row>
    <row r="20" spans="1:25" x14ac:dyDescent="0.25">
      <c r="A20" s="16" t="s">
        <v>218</v>
      </c>
    </row>
    <row r="21" spans="1:25" x14ac:dyDescent="0.25">
      <c r="A21" s="16" t="s">
        <v>219</v>
      </c>
    </row>
    <row r="22" spans="1:25" x14ac:dyDescent="0.25">
      <c r="A22" s="16" t="s">
        <v>220</v>
      </c>
      <c r="B22" s="16">
        <v>2</v>
      </c>
    </row>
    <row r="23" spans="1:25" x14ac:dyDescent="0.25">
      <c r="A23" s="16" t="s">
        <v>221</v>
      </c>
      <c r="Q23" s="16" t="s">
        <v>3</v>
      </c>
      <c r="R23" s="16" t="s">
        <v>4</v>
      </c>
      <c r="S23" s="16" t="s">
        <v>14</v>
      </c>
      <c r="T23" s="16" t="s">
        <v>215</v>
      </c>
      <c r="U23" s="16" t="s">
        <v>216</v>
      </c>
      <c r="V23" s="16" t="s">
        <v>7</v>
      </c>
      <c r="W23" s="16" t="s">
        <v>5</v>
      </c>
      <c r="X23" s="16" t="s">
        <v>77</v>
      </c>
      <c r="Y23" s="16" t="s">
        <v>15</v>
      </c>
    </row>
    <row r="24" spans="1:25" x14ac:dyDescent="0.25">
      <c r="A24" s="16" t="s">
        <v>222</v>
      </c>
      <c r="Q24" s="16" t="s">
        <v>3</v>
      </c>
      <c r="R24" s="16" t="s">
        <v>4</v>
      </c>
      <c r="S24" s="16" t="s">
        <v>14</v>
      </c>
      <c r="T24" s="16" t="s">
        <v>225</v>
      </c>
      <c r="U24" s="16" t="s">
        <v>226</v>
      </c>
      <c r="V24" s="16" t="s">
        <v>7</v>
      </c>
      <c r="W24" s="16">
        <v>2795</v>
      </c>
      <c r="X24" s="16" t="s">
        <v>77</v>
      </c>
      <c r="Y24" s="16" t="s">
        <v>15</v>
      </c>
    </row>
    <row r="25" spans="1:25" x14ac:dyDescent="0.25">
      <c r="A25" s="16" t="s">
        <v>158</v>
      </c>
      <c r="Q25" s="16">
        <v>3.2000000000000001E-2</v>
      </c>
      <c r="R25" s="16">
        <v>2.68189E-2</v>
      </c>
      <c r="S25" s="16">
        <v>0.35856199999999999</v>
      </c>
      <c r="T25" s="16">
        <v>125</v>
      </c>
      <c r="U25" s="16">
        <v>125</v>
      </c>
      <c r="V25" s="16">
        <v>115.37</v>
      </c>
      <c r="W25" s="16">
        <v>0.70652400000000004</v>
      </c>
      <c r="X25" s="16">
        <v>3.2000000000000001E-2</v>
      </c>
      <c r="Y25" s="16">
        <v>2.68189E-2</v>
      </c>
    </row>
    <row r="26" spans="1:25" x14ac:dyDescent="0.25">
      <c r="A26" s="16" t="s">
        <v>159</v>
      </c>
    </row>
    <row r="28" spans="1:25" x14ac:dyDescent="0.25">
      <c r="A28" s="16" t="s">
        <v>224</v>
      </c>
    </row>
    <row r="29" spans="1:25" x14ac:dyDescent="0.25">
      <c r="B29" s="16" t="s">
        <v>214</v>
      </c>
    </row>
    <row r="33" spans="1:1" x14ac:dyDescent="0.25">
      <c r="A33" s="16" t="s">
        <v>214</v>
      </c>
    </row>
  </sheetData>
  <hyperlinks>
    <hyperlink ref="F2" location="Main_List" display="Return to Main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iew_Comp_Data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80" zoomScaleNormal="80" workbookViewId="0"/>
  </sheetViews>
  <sheetFormatPr defaultRowHeight="15" x14ac:dyDescent="0.25"/>
  <cols>
    <col min="1" max="1" width="10.140625" style="16" bestFit="1" customWidth="1"/>
    <col min="2" max="2" width="26.7109375" style="16" customWidth="1"/>
    <col min="3" max="3" width="22.85546875" style="16" customWidth="1"/>
    <col min="4" max="4" width="13.85546875" style="16" bestFit="1" customWidth="1"/>
    <col min="5" max="5" width="14.28515625" style="16" bestFit="1" customWidth="1"/>
    <col min="6" max="11" width="13.85546875" style="16" bestFit="1" customWidth="1"/>
    <col min="12" max="12" width="14.42578125" style="16" bestFit="1" customWidth="1"/>
    <col min="13" max="15" width="13.85546875" style="16" bestFit="1" customWidth="1"/>
    <col min="16" max="16" width="14.28515625" style="16" bestFit="1" customWidth="1"/>
    <col min="17" max="17" width="13.85546875" style="16" bestFit="1" customWidth="1"/>
    <col min="18" max="18" width="14.28515625" style="16" bestFit="1" customWidth="1"/>
    <col min="19" max="30" width="13.85546875" style="16" bestFit="1" customWidth="1"/>
    <col min="31" max="33" width="14.28515625" style="16" bestFit="1" customWidth="1"/>
    <col min="34" max="38" width="13.85546875" style="16" bestFit="1" customWidth="1"/>
    <col min="39" max="39" width="14.42578125" style="16" bestFit="1" customWidth="1"/>
    <col min="40" max="42" width="13.85546875" style="16" bestFit="1" customWidth="1"/>
    <col min="43" max="43" width="14.5703125" style="16" bestFit="1" customWidth="1"/>
    <col min="44" max="48" width="13.85546875" style="16" bestFit="1" customWidth="1"/>
    <col min="49" max="52" width="13.42578125" style="16" bestFit="1" customWidth="1"/>
    <col min="53" max="56" width="13.28515625" style="16" bestFit="1" customWidth="1"/>
    <col min="57" max="62" width="13.140625" style="16" bestFit="1" customWidth="1"/>
    <col min="63" max="66" width="13.5703125" style="16" bestFit="1" customWidth="1"/>
    <col min="67" max="67" width="13.7109375" style="16" bestFit="1" customWidth="1"/>
    <col min="68" max="70" width="13.5703125" style="16" bestFit="1" customWidth="1"/>
    <col min="71" max="71" width="13.140625" style="16" bestFit="1" customWidth="1"/>
    <col min="72" max="84" width="13.5703125" style="16" bestFit="1" customWidth="1"/>
    <col min="85" max="100" width="13" style="16" bestFit="1" customWidth="1"/>
    <col min="101" max="101" width="13.140625" style="16" bestFit="1" customWidth="1"/>
    <col min="102" max="108" width="13" style="16" bestFit="1" customWidth="1"/>
    <col min="109" max="109" width="13.140625" style="16" bestFit="1" customWidth="1"/>
    <col min="110" max="156" width="13" style="16" bestFit="1" customWidth="1"/>
    <col min="157" max="157" width="13.140625" style="16" bestFit="1" customWidth="1"/>
    <col min="158" max="302" width="13" style="16" bestFit="1" customWidth="1"/>
    <col min="303" max="313" width="9.28515625" style="16" bestFit="1" customWidth="1"/>
    <col min="314" max="16384" width="9.140625" style="16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"/>
  <sheetViews>
    <sheetView tabSelected="1" workbookViewId="0"/>
  </sheetViews>
  <sheetFormatPr defaultRowHeight="15" x14ac:dyDescent="0.25"/>
  <sheetData>
    <row r="1" spans="1:16" ht="18.75" x14ac:dyDescent="0.3">
      <c r="H1" s="18" t="s">
        <v>250</v>
      </c>
    </row>
    <row r="3" spans="1:16" ht="23.25" x14ac:dyDescent="0.35">
      <c r="A3" t="s">
        <v>116</v>
      </c>
      <c r="N3" s="14" t="s">
        <v>140</v>
      </c>
      <c r="P3" s="17" t="s">
        <v>162</v>
      </c>
    </row>
    <row r="4" spans="1:16" x14ac:dyDescent="0.25">
      <c r="E4" t="s">
        <v>163</v>
      </c>
    </row>
    <row r="5" spans="1:16" x14ac:dyDescent="0.25">
      <c r="N5" s="13" t="s">
        <v>142</v>
      </c>
    </row>
    <row r="6" spans="1:16" x14ac:dyDescent="0.25">
      <c r="N6" s="13" t="s">
        <v>149</v>
      </c>
    </row>
    <row r="7" spans="1:16" x14ac:dyDescent="0.25">
      <c r="I7" s="19" t="s">
        <v>126</v>
      </c>
      <c r="N7" s="13" t="s">
        <v>150</v>
      </c>
    </row>
    <row r="8" spans="1:16" x14ac:dyDescent="0.25">
      <c r="A8" t="s">
        <v>19</v>
      </c>
    </row>
    <row r="9" spans="1:16" x14ac:dyDescent="0.25">
      <c r="A9" t="s">
        <v>82</v>
      </c>
      <c r="N9" s="13" t="s">
        <v>139</v>
      </c>
    </row>
    <row r="10" spans="1:16" x14ac:dyDescent="0.25">
      <c r="A10" t="s">
        <v>83</v>
      </c>
      <c r="N10" s="13" t="s">
        <v>138</v>
      </c>
    </row>
    <row r="11" spans="1:16" x14ac:dyDescent="0.25">
      <c r="N11" s="13" t="s">
        <v>143</v>
      </c>
    </row>
    <row r="12" spans="1:16" x14ac:dyDescent="0.25">
      <c r="N12" s="13" t="s">
        <v>144</v>
      </c>
    </row>
    <row r="14" spans="1:16" x14ac:dyDescent="0.25">
      <c r="N14" s="13" t="s">
        <v>145</v>
      </c>
    </row>
    <row r="15" spans="1:16" x14ac:dyDescent="0.25">
      <c r="N15" s="13" t="s">
        <v>146</v>
      </c>
    </row>
    <row r="16" spans="1:16" x14ac:dyDescent="0.25">
      <c r="A16" t="s">
        <v>115</v>
      </c>
      <c r="N16" s="13" t="s">
        <v>147</v>
      </c>
    </row>
    <row r="18" spans="1:14" x14ac:dyDescent="0.25">
      <c r="N18" s="13" t="s">
        <v>148</v>
      </c>
    </row>
    <row r="19" spans="1:14" x14ac:dyDescent="0.25">
      <c r="N19" s="13" t="s">
        <v>125</v>
      </c>
    </row>
    <row r="20" spans="1:14" x14ac:dyDescent="0.25">
      <c r="A20" t="s">
        <v>84</v>
      </c>
      <c r="N20" s="13" t="s">
        <v>137</v>
      </c>
    </row>
    <row r="21" spans="1:14" x14ac:dyDescent="0.25">
      <c r="A21" t="s">
        <v>81</v>
      </c>
      <c r="N21" s="13" t="s">
        <v>151</v>
      </c>
    </row>
    <row r="22" spans="1:14" x14ac:dyDescent="0.25">
      <c r="N22" s="13" t="s">
        <v>152</v>
      </c>
    </row>
    <row r="24" spans="1:14" x14ac:dyDescent="0.25">
      <c r="A24" t="s">
        <v>117</v>
      </c>
    </row>
    <row r="25" spans="1:14" x14ac:dyDescent="0.25">
      <c r="E25" t="s">
        <v>161</v>
      </c>
    </row>
  </sheetData>
  <hyperlinks>
    <hyperlink ref="N10" location="put_ageselex" display="AgeSelex_Display"/>
    <hyperlink ref="N9" location="AgeSelex_Raw" display="AgeSelex_Raw"/>
    <hyperlink ref="N5" location="REPORT_SSO!A1" display="Report_SSO"/>
    <hyperlink ref="N6" location="CompReport_SSO!A20" display="Composition_Raw"/>
    <hyperlink ref="N11" location="Len_Sel_A!A1" display="LenSelex_Raw"/>
    <hyperlink ref="N12" location="Len_Sel_D!A1" display="LenSelex_Display"/>
    <hyperlink ref="N14" location="Time_Series!A1" display="Time_Series_Detail"/>
    <hyperlink ref="N15" location="Annual!A1" display="TimeSeries_Annual"/>
    <hyperlink ref="N16" location="SRR!A1" display="Spawn_Recruit"/>
    <hyperlink ref="N18" location="SURVEY!A2" display="SURVEY_CPUE"/>
    <hyperlink ref="N19" location="BIO!A34" display="BIOLOGY"/>
    <hyperlink ref="N7" location="Comp_Disp!A4" display="Composition_Display"/>
    <hyperlink ref="N20" location="Discard!A1" display="Discard"/>
    <hyperlink ref="N21" location="BODYWT!A1" display="BODYWT"/>
    <hyperlink ref="N22" location="Annual_F!A1" display="Annual_F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arse_REPORT_SSO">
                <anchor moveWithCells="1" sizeWithCells="1">
                  <from>
                    <xdr:col>0</xdr:col>
                    <xdr:colOff>19050</xdr:colOff>
                    <xdr:row>10</xdr:row>
                    <xdr:rowOff>114300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_CompReport">
                <anchor moveWithCells="1" sizeWithCells="1">
                  <from>
                    <xdr:col>0</xdr:col>
                    <xdr:colOff>38100</xdr:colOff>
                    <xdr:row>16</xdr:row>
                    <xdr:rowOff>114300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nUp">
                <anchor moveWithCells="1" sizeWithCells="1">
                  <from>
                    <xdr:col>0</xdr:col>
                    <xdr:colOff>19050</xdr:colOff>
                    <xdr:row>24</xdr:row>
                    <xdr:rowOff>9525</xdr:rowOff>
                  </from>
                  <to>
                    <xdr:col>3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17"/>
  <sheetViews>
    <sheetView zoomScale="90" zoomScaleNormal="90" workbookViewId="0"/>
  </sheetViews>
  <sheetFormatPr defaultRowHeight="15" x14ac:dyDescent="0.25"/>
  <sheetData>
    <row r="1" spans="1:15" ht="234" customHeight="1" x14ac:dyDescent="0.25"/>
    <row r="2" spans="1:15" ht="57.75" customHeight="1" x14ac:dyDescent="0.25">
      <c r="H2" s="15"/>
    </row>
    <row r="3" spans="1:15" x14ac:dyDescent="0.25">
      <c r="A3" s="16">
        <v>8.8150499999999994</v>
      </c>
      <c r="B3" s="16" t="s">
        <v>107</v>
      </c>
      <c r="C3" s="16">
        <v>6734.87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16">
        <v>0.61424800000000002</v>
      </c>
      <c r="B4" s="16" t="s">
        <v>188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1:15" x14ac:dyDescent="0.25">
      <c r="A5" s="16">
        <v>0.312164</v>
      </c>
      <c r="B5" s="16" t="s">
        <v>167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16">
        <v>0.6</v>
      </c>
      <c r="B6" s="16" t="s">
        <v>127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5" x14ac:dyDescent="0.25">
      <c r="A7" s="16">
        <v>0</v>
      </c>
      <c r="B7" s="16" t="s">
        <v>97</v>
      </c>
      <c r="C7" s="16" t="s">
        <v>185</v>
      </c>
      <c r="D7" s="16" t="s">
        <v>186</v>
      </c>
      <c r="E7" s="16" t="s">
        <v>187</v>
      </c>
      <c r="F7" s="16" t="s">
        <v>188</v>
      </c>
      <c r="G7" s="16" t="s">
        <v>178</v>
      </c>
      <c r="H7" s="16" t="s">
        <v>189</v>
      </c>
      <c r="I7" s="16" t="s">
        <v>190</v>
      </c>
      <c r="J7" s="16" t="s">
        <v>240</v>
      </c>
      <c r="K7" s="16" t="s">
        <v>241</v>
      </c>
      <c r="L7" s="16"/>
      <c r="M7" s="16"/>
      <c r="N7" s="16"/>
      <c r="O7" s="16"/>
    </row>
    <row r="8" spans="1:15" x14ac:dyDescent="0.25">
      <c r="A8" s="16">
        <v>0</v>
      </c>
      <c r="B8" s="16" t="s">
        <v>205</v>
      </c>
      <c r="C8" s="16" t="s">
        <v>206</v>
      </c>
      <c r="D8" s="16" t="s">
        <v>207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1:15" x14ac:dyDescent="0.25">
      <c r="A9" s="16">
        <v>1971</v>
      </c>
      <c r="B9" s="16">
        <v>2001</v>
      </c>
      <c r="C9" s="16" t="s">
        <v>128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0" spans="1:15" x14ac:dyDescent="0.25">
      <c r="A10" s="16">
        <v>1900</v>
      </c>
      <c r="B10" s="16">
        <v>1900</v>
      </c>
      <c r="C10" s="16">
        <v>2001</v>
      </c>
      <c r="D10" s="16">
        <v>2002</v>
      </c>
      <c r="E10" s="16">
        <v>1</v>
      </c>
      <c r="F10" s="16" t="s">
        <v>129</v>
      </c>
      <c r="G10" s="16"/>
      <c r="H10" s="16"/>
      <c r="I10" s="16"/>
      <c r="J10" s="16"/>
      <c r="K10" s="16"/>
      <c r="L10" s="16"/>
      <c r="M10" s="16"/>
      <c r="N10" s="16"/>
      <c r="O10" s="16"/>
    </row>
    <row r="11" spans="1:15" x14ac:dyDescent="0.25">
      <c r="A11" s="16" t="s">
        <v>130</v>
      </c>
      <c r="B11" s="16" t="s">
        <v>6</v>
      </c>
      <c r="C11" s="16" t="s">
        <v>131</v>
      </c>
      <c r="D11" s="16" t="s">
        <v>153</v>
      </c>
      <c r="E11" s="16" t="s">
        <v>132</v>
      </c>
      <c r="F11" s="16" t="s">
        <v>238</v>
      </c>
      <c r="G11" s="16" t="s">
        <v>242</v>
      </c>
      <c r="H11" s="16"/>
      <c r="I11" s="16"/>
      <c r="J11" s="16"/>
      <c r="K11" s="16"/>
      <c r="L11" s="16"/>
      <c r="M11" s="16"/>
      <c r="N11" s="16"/>
      <c r="O11" s="16"/>
    </row>
    <row r="12" spans="1:15" x14ac:dyDescent="0.25">
      <c r="A12" s="16" t="s">
        <v>133</v>
      </c>
      <c r="B12" s="16">
        <v>31</v>
      </c>
      <c r="C12" s="16">
        <v>0.44271100000000002</v>
      </c>
      <c r="D12" s="16">
        <v>0.54442400000000002</v>
      </c>
      <c r="E12" s="16">
        <v>1</v>
      </c>
      <c r="F12" s="16">
        <v>-8.3928699999999995E-2</v>
      </c>
      <c r="G12" s="16">
        <v>2.1448299999999998</v>
      </c>
      <c r="H12" s="16"/>
      <c r="I12" s="16"/>
      <c r="J12" s="16"/>
      <c r="K12" s="16"/>
      <c r="L12" s="16"/>
      <c r="M12" s="16"/>
      <c r="N12" s="16"/>
      <c r="O12" s="16"/>
    </row>
    <row r="13" spans="1:15" x14ac:dyDescent="0.25">
      <c r="A13" s="16" t="s">
        <v>134</v>
      </c>
      <c r="B13" s="16">
        <v>0</v>
      </c>
      <c r="C13" s="16">
        <v>0</v>
      </c>
      <c r="D13" s="16">
        <v>0</v>
      </c>
      <c r="E13" s="16">
        <v>0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1:15" x14ac:dyDescent="0.25">
      <c r="A14" s="16" t="s">
        <v>2</v>
      </c>
      <c r="B14" s="16" t="s">
        <v>94</v>
      </c>
      <c r="C14" s="16" t="s">
        <v>108</v>
      </c>
      <c r="D14" s="16" t="s">
        <v>191</v>
      </c>
      <c r="E14" s="16" t="s">
        <v>192</v>
      </c>
      <c r="F14" s="16" t="s">
        <v>109</v>
      </c>
      <c r="G14" s="16" t="s">
        <v>110</v>
      </c>
      <c r="H14" s="16" t="s">
        <v>193</v>
      </c>
      <c r="I14" s="16" t="s">
        <v>111</v>
      </c>
      <c r="J14" s="16" t="s">
        <v>243</v>
      </c>
      <c r="K14" s="16" t="s">
        <v>244</v>
      </c>
      <c r="L14" s="16" t="s">
        <v>245</v>
      </c>
      <c r="M14" s="16"/>
      <c r="N14" s="16"/>
      <c r="O14" s="16"/>
    </row>
    <row r="15" spans="1:15" x14ac:dyDescent="0.25">
      <c r="A15" s="16" t="s">
        <v>112</v>
      </c>
      <c r="B15" s="16">
        <v>49909.7</v>
      </c>
      <c r="C15" s="16">
        <v>6734.87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1:15" x14ac:dyDescent="0.25">
      <c r="A16" s="16" t="s">
        <v>113</v>
      </c>
      <c r="B16" s="16">
        <v>49909.7</v>
      </c>
      <c r="C16" s="16">
        <v>6734.87</v>
      </c>
      <c r="D16" s="16">
        <v>6734.87</v>
      </c>
      <c r="E16" s="16">
        <v>6734.87</v>
      </c>
      <c r="F16" s="16">
        <v>6734.87</v>
      </c>
      <c r="G16" s="16" t="s">
        <v>114</v>
      </c>
      <c r="H16" s="16">
        <v>0</v>
      </c>
      <c r="I16" s="16" t="s">
        <v>113</v>
      </c>
      <c r="J16" s="16">
        <v>49909.8</v>
      </c>
      <c r="K16" s="16">
        <v>15665</v>
      </c>
      <c r="L16" s="16">
        <v>0</v>
      </c>
      <c r="M16" s="16"/>
      <c r="N16" s="16"/>
      <c r="O16" s="16"/>
    </row>
    <row r="17" spans="1:15" x14ac:dyDescent="0.25">
      <c r="A17" s="16" t="s">
        <v>239</v>
      </c>
      <c r="B17" s="16">
        <v>49909.7</v>
      </c>
      <c r="C17" s="16">
        <v>6734.87</v>
      </c>
      <c r="D17" s="16">
        <v>6734.87</v>
      </c>
      <c r="E17" s="16">
        <v>6734.87</v>
      </c>
      <c r="F17" s="16">
        <v>6734.87</v>
      </c>
      <c r="G17" s="16" t="s">
        <v>114</v>
      </c>
      <c r="H17" s="16">
        <v>0</v>
      </c>
      <c r="I17" s="16" t="s">
        <v>239</v>
      </c>
      <c r="J17" s="16">
        <v>49909.8</v>
      </c>
      <c r="K17" s="16">
        <v>15665</v>
      </c>
      <c r="L17" s="16">
        <v>0</v>
      </c>
      <c r="M17" s="16"/>
      <c r="N17" s="16"/>
      <c r="O17" s="1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6"/>
  <sheetViews>
    <sheetView zoomScale="80" zoomScaleNormal="80" workbookViewId="0"/>
  </sheetViews>
  <sheetFormatPr defaultRowHeight="12.75" x14ac:dyDescent="0.2"/>
  <cols>
    <col min="1" max="1" width="9.140625" style="1"/>
    <col min="2" max="2" width="14.85546875" style="1" customWidth="1"/>
    <col min="3" max="3" width="9.5703125" style="1" bestFit="1" customWidth="1"/>
    <col min="4" max="6" width="9.28515625" style="1" bestFit="1" customWidth="1"/>
    <col min="7" max="23" width="9.140625" style="1"/>
    <col min="24" max="24" width="10" style="1" customWidth="1"/>
    <col min="25" max="263" width="9.140625" style="1"/>
    <col min="264" max="264" width="9.28515625" style="1" bestFit="1" customWidth="1"/>
    <col min="265" max="265" width="9.5703125" style="1" bestFit="1" customWidth="1"/>
    <col min="266" max="268" width="9.28515625" style="1" bestFit="1" customWidth="1"/>
    <col min="269" max="279" width="9.140625" style="1"/>
    <col min="280" max="280" width="20" style="1" customWidth="1"/>
    <col min="281" max="519" width="9.140625" style="1"/>
    <col min="520" max="520" width="9.28515625" style="1" bestFit="1" customWidth="1"/>
    <col min="521" max="521" width="9.5703125" style="1" bestFit="1" customWidth="1"/>
    <col min="522" max="524" width="9.28515625" style="1" bestFit="1" customWidth="1"/>
    <col min="525" max="535" width="9.140625" style="1"/>
    <col min="536" max="536" width="20" style="1" customWidth="1"/>
    <col min="537" max="775" width="9.140625" style="1"/>
    <col min="776" max="776" width="9.28515625" style="1" bestFit="1" customWidth="1"/>
    <col min="777" max="777" width="9.5703125" style="1" bestFit="1" customWidth="1"/>
    <col min="778" max="780" width="9.28515625" style="1" bestFit="1" customWidth="1"/>
    <col min="781" max="791" width="9.140625" style="1"/>
    <col min="792" max="792" width="20" style="1" customWidth="1"/>
    <col min="793" max="1031" width="9.140625" style="1"/>
    <col min="1032" max="1032" width="9.28515625" style="1" bestFit="1" customWidth="1"/>
    <col min="1033" max="1033" width="9.5703125" style="1" bestFit="1" customWidth="1"/>
    <col min="1034" max="1036" width="9.28515625" style="1" bestFit="1" customWidth="1"/>
    <col min="1037" max="1047" width="9.140625" style="1"/>
    <col min="1048" max="1048" width="20" style="1" customWidth="1"/>
    <col min="1049" max="1287" width="9.140625" style="1"/>
    <col min="1288" max="1288" width="9.28515625" style="1" bestFit="1" customWidth="1"/>
    <col min="1289" max="1289" width="9.5703125" style="1" bestFit="1" customWidth="1"/>
    <col min="1290" max="1292" width="9.28515625" style="1" bestFit="1" customWidth="1"/>
    <col min="1293" max="1303" width="9.140625" style="1"/>
    <col min="1304" max="1304" width="20" style="1" customWidth="1"/>
    <col min="1305" max="1543" width="9.140625" style="1"/>
    <col min="1544" max="1544" width="9.28515625" style="1" bestFit="1" customWidth="1"/>
    <col min="1545" max="1545" width="9.5703125" style="1" bestFit="1" customWidth="1"/>
    <col min="1546" max="1548" width="9.28515625" style="1" bestFit="1" customWidth="1"/>
    <col min="1549" max="1559" width="9.140625" style="1"/>
    <col min="1560" max="1560" width="20" style="1" customWidth="1"/>
    <col min="1561" max="1799" width="9.140625" style="1"/>
    <col min="1800" max="1800" width="9.28515625" style="1" bestFit="1" customWidth="1"/>
    <col min="1801" max="1801" width="9.5703125" style="1" bestFit="1" customWidth="1"/>
    <col min="1802" max="1804" width="9.28515625" style="1" bestFit="1" customWidth="1"/>
    <col min="1805" max="1815" width="9.140625" style="1"/>
    <col min="1816" max="1816" width="20" style="1" customWidth="1"/>
    <col min="1817" max="2055" width="9.140625" style="1"/>
    <col min="2056" max="2056" width="9.28515625" style="1" bestFit="1" customWidth="1"/>
    <col min="2057" max="2057" width="9.5703125" style="1" bestFit="1" customWidth="1"/>
    <col min="2058" max="2060" width="9.28515625" style="1" bestFit="1" customWidth="1"/>
    <col min="2061" max="2071" width="9.140625" style="1"/>
    <col min="2072" max="2072" width="20" style="1" customWidth="1"/>
    <col min="2073" max="2311" width="9.140625" style="1"/>
    <col min="2312" max="2312" width="9.28515625" style="1" bestFit="1" customWidth="1"/>
    <col min="2313" max="2313" width="9.5703125" style="1" bestFit="1" customWidth="1"/>
    <col min="2314" max="2316" width="9.28515625" style="1" bestFit="1" customWidth="1"/>
    <col min="2317" max="2327" width="9.140625" style="1"/>
    <col min="2328" max="2328" width="20" style="1" customWidth="1"/>
    <col min="2329" max="2567" width="9.140625" style="1"/>
    <col min="2568" max="2568" width="9.28515625" style="1" bestFit="1" customWidth="1"/>
    <col min="2569" max="2569" width="9.5703125" style="1" bestFit="1" customWidth="1"/>
    <col min="2570" max="2572" width="9.28515625" style="1" bestFit="1" customWidth="1"/>
    <col min="2573" max="2583" width="9.140625" style="1"/>
    <col min="2584" max="2584" width="20" style="1" customWidth="1"/>
    <col min="2585" max="2823" width="9.140625" style="1"/>
    <col min="2824" max="2824" width="9.28515625" style="1" bestFit="1" customWidth="1"/>
    <col min="2825" max="2825" width="9.5703125" style="1" bestFit="1" customWidth="1"/>
    <col min="2826" max="2828" width="9.28515625" style="1" bestFit="1" customWidth="1"/>
    <col min="2829" max="2839" width="9.140625" style="1"/>
    <col min="2840" max="2840" width="20" style="1" customWidth="1"/>
    <col min="2841" max="3079" width="9.140625" style="1"/>
    <col min="3080" max="3080" width="9.28515625" style="1" bestFit="1" customWidth="1"/>
    <col min="3081" max="3081" width="9.5703125" style="1" bestFit="1" customWidth="1"/>
    <col min="3082" max="3084" width="9.28515625" style="1" bestFit="1" customWidth="1"/>
    <col min="3085" max="3095" width="9.140625" style="1"/>
    <col min="3096" max="3096" width="20" style="1" customWidth="1"/>
    <col min="3097" max="3335" width="9.140625" style="1"/>
    <col min="3336" max="3336" width="9.28515625" style="1" bestFit="1" customWidth="1"/>
    <col min="3337" max="3337" width="9.5703125" style="1" bestFit="1" customWidth="1"/>
    <col min="3338" max="3340" width="9.28515625" style="1" bestFit="1" customWidth="1"/>
    <col min="3341" max="3351" width="9.140625" style="1"/>
    <col min="3352" max="3352" width="20" style="1" customWidth="1"/>
    <col min="3353" max="3591" width="9.140625" style="1"/>
    <col min="3592" max="3592" width="9.28515625" style="1" bestFit="1" customWidth="1"/>
    <col min="3593" max="3593" width="9.5703125" style="1" bestFit="1" customWidth="1"/>
    <col min="3594" max="3596" width="9.28515625" style="1" bestFit="1" customWidth="1"/>
    <col min="3597" max="3607" width="9.140625" style="1"/>
    <col min="3608" max="3608" width="20" style="1" customWidth="1"/>
    <col min="3609" max="3847" width="9.140625" style="1"/>
    <col min="3848" max="3848" width="9.28515625" style="1" bestFit="1" customWidth="1"/>
    <col min="3849" max="3849" width="9.5703125" style="1" bestFit="1" customWidth="1"/>
    <col min="3850" max="3852" width="9.28515625" style="1" bestFit="1" customWidth="1"/>
    <col min="3853" max="3863" width="9.140625" style="1"/>
    <col min="3864" max="3864" width="20" style="1" customWidth="1"/>
    <col min="3865" max="4103" width="9.140625" style="1"/>
    <col min="4104" max="4104" width="9.28515625" style="1" bestFit="1" customWidth="1"/>
    <col min="4105" max="4105" width="9.5703125" style="1" bestFit="1" customWidth="1"/>
    <col min="4106" max="4108" width="9.28515625" style="1" bestFit="1" customWidth="1"/>
    <col min="4109" max="4119" width="9.140625" style="1"/>
    <col min="4120" max="4120" width="20" style="1" customWidth="1"/>
    <col min="4121" max="4359" width="9.140625" style="1"/>
    <col min="4360" max="4360" width="9.28515625" style="1" bestFit="1" customWidth="1"/>
    <col min="4361" max="4361" width="9.5703125" style="1" bestFit="1" customWidth="1"/>
    <col min="4362" max="4364" width="9.28515625" style="1" bestFit="1" customWidth="1"/>
    <col min="4365" max="4375" width="9.140625" style="1"/>
    <col min="4376" max="4376" width="20" style="1" customWidth="1"/>
    <col min="4377" max="4615" width="9.140625" style="1"/>
    <col min="4616" max="4616" width="9.28515625" style="1" bestFit="1" customWidth="1"/>
    <col min="4617" max="4617" width="9.5703125" style="1" bestFit="1" customWidth="1"/>
    <col min="4618" max="4620" width="9.28515625" style="1" bestFit="1" customWidth="1"/>
    <col min="4621" max="4631" width="9.140625" style="1"/>
    <col min="4632" max="4632" width="20" style="1" customWidth="1"/>
    <col min="4633" max="4871" width="9.140625" style="1"/>
    <col min="4872" max="4872" width="9.28515625" style="1" bestFit="1" customWidth="1"/>
    <col min="4873" max="4873" width="9.5703125" style="1" bestFit="1" customWidth="1"/>
    <col min="4874" max="4876" width="9.28515625" style="1" bestFit="1" customWidth="1"/>
    <col min="4877" max="4887" width="9.140625" style="1"/>
    <col min="4888" max="4888" width="20" style="1" customWidth="1"/>
    <col min="4889" max="5127" width="9.140625" style="1"/>
    <col min="5128" max="5128" width="9.28515625" style="1" bestFit="1" customWidth="1"/>
    <col min="5129" max="5129" width="9.5703125" style="1" bestFit="1" customWidth="1"/>
    <col min="5130" max="5132" width="9.28515625" style="1" bestFit="1" customWidth="1"/>
    <col min="5133" max="5143" width="9.140625" style="1"/>
    <col min="5144" max="5144" width="20" style="1" customWidth="1"/>
    <col min="5145" max="5383" width="9.140625" style="1"/>
    <col min="5384" max="5384" width="9.28515625" style="1" bestFit="1" customWidth="1"/>
    <col min="5385" max="5385" width="9.5703125" style="1" bestFit="1" customWidth="1"/>
    <col min="5386" max="5388" width="9.28515625" style="1" bestFit="1" customWidth="1"/>
    <col min="5389" max="5399" width="9.140625" style="1"/>
    <col min="5400" max="5400" width="20" style="1" customWidth="1"/>
    <col min="5401" max="5639" width="9.140625" style="1"/>
    <col min="5640" max="5640" width="9.28515625" style="1" bestFit="1" customWidth="1"/>
    <col min="5641" max="5641" width="9.5703125" style="1" bestFit="1" customWidth="1"/>
    <col min="5642" max="5644" width="9.28515625" style="1" bestFit="1" customWidth="1"/>
    <col min="5645" max="5655" width="9.140625" style="1"/>
    <col min="5656" max="5656" width="20" style="1" customWidth="1"/>
    <col min="5657" max="5895" width="9.140625" style="1"/>
    <col min="5896" max="5896" width="9.28515625" style="1" bestFit="1" customWidth="1"/>
    <col min="5897" max="5897" width="9.5703125" style="1" bestFit="1" customWidth="1"/>
    <col min="5898" max="5900" width="9.28515625" style="1" bestFit="1" customWidth="1"/>
    <col min="5901" max="5911" width="9.140625" style="1"/>
    <col min="5912" max="5912" width="20" style="1" customWidth="1"/>
    <col min="5913" max="6151" width="9.140625" style="1"/>
    <col min="6152" max="6152" width="9.28515625" style="1" bestFit="1" customWidth="1"/>
    <col min="6153" max="6153" width="9.5703125" style="1" bestFit="1" customWidth="1"/>
    <col min="6154" max="6156" width="9.28515625" style="1" bestFit="1" customWidth="1"/>
    <col min="6157" max="6167" width="9.140625" style="1"/>
    <col min="6168" max="6168" width="20" style="1" customWidth="1"/>
    <col min="6169" max="6407" width="9.140625" style="1"/>
    <col min="6408" max="6408" width="9.28515625" style="1" bestFit="1" customWidth="1"/>
    <col min="6409" max="6409" width="9.5703125" style="1" bestFit="1" customWidth="1"/>
    <col min="6410" max="6412" width="9.28515625" style="1" bestFit="1" customWidth="1"/>
    <col min="6413" max="6423" width="9.140625" style="1"/>
    <col min="6424" max="6424" width="20" style="1" customWidth="1"/>
    <col min="6425" max="6663" width="9.140625" style="1"/>
    <col min="6664" max="6664" width="9.28515625" style="1" bestFit="1" customWidth="1"/>
    <col min="6665" max="6665" width="9.5703125" style="1" bestFit="1" customWidth="1"/>
    <col min="6666" max="6668" width="9.28515625" style="1" bestFit="1" customWidth="1"/>
    <col min="6669" max="6679" width="9.140625" style="1"/>
    <col min="6680" max="6680" width="20" style="1" customWidth="1"/>
    <col min="6681" max="6919" width="9.140625" style="1"/>
    <col min="6920" max="6920" width="9.28515625" style="1" bestFit="1" customWidth="1"/>
    <col min="6921" max="6921" width="9.5703125" style="1" bestFit="1" customWidth="1"/>
    <col min="6922" max="6924" width="9.28515625" style="1" bestFit="1" customWidth="1"/>
    <col min="6925" max="6935" width="9.140625" style="1"/>
    <col min="6936" max="6936" width="20" style="1" customWidth="1"/>
    <col min="6937" max="7175" width="9.140625" style="1"/>
    <col min="7176" max="7176" width="9.28515625" style="1" bestFit="1" customWidth="1"/>
    <col min="7177" max="7177" width="9.5703125" style="1" bestFit="1" customWidth="1"/>
    <col min="7178" max="7180" width="9.28515625" style="1" bestFit="1" customWidth="1"/>
    <col min="7181" max="7191" width="9.140625" style="1"/>
    <col min="7192" max="7192" width="20" style="1" customWidth="1"/>
    <col min="7193" max="7431" width="9.140625" style="1"/>
    <col min="7432" max="7432" width="9.28515625" style="1" bestFit="1" customWidth="1"/>
    <col min="7433" max="7433" width="9.5703125" style="1" bestFit="1" customWidth="1"/>
    <col min="7434" max="7436" width="9.28515625" style="1" bestFit="1" customWidth="1"/>
    <col min="7437" max="7447" width="9.140625" style="1"/>
    <col min="7448" max="7448" width="20" style="1" customWidth="1"/>
    <col min="7449" max="7687" width="9.140625" style="1"/>
    <col min="7688" max="7688" width="9.28515625" style="1" bestFit="1" customWidth="1"/>
    <col min="7689" max="7689" width="9.5703125" style="1" bestFit="1" customWidth="1"/>
    <col min="7690" max="7692" width="9.28515625" style="1" bestFit="1" customWidth="1"/>
    <col min="7693" max="7703" width="9.140625" style="1"/>
    <col min="7704" max="7704" width="20" style="1" customWidth="1"/>
    <col min="7705" max="7943" width="9.140625" style="1"/>
    <col min="7944" max="7944" width="9.28515625" style="1" bestFit="1" customWidth="1"/>
    <col min="7945" max="7945" width="9.5703125" style="1" bestFit="1" customWidth="1"/>
    <col min="7946" max="7948" width="9.28515625" style="1" bestFit="1" customWidth="1"/>
    <col min="7949" max="7959" width="9.140625" style="1"/>
    <col min="7960" max="7960" width="20" style="1" customWidth="1"/>
    <col min="7961" max="8199" width="9.140625" style="1"/>
    <col min="8200" max="8200" width="9.28515625" style="1" bestFit="1" customWidth="1"/>
    <col min="8201" max="8201" width="9.5703125" style="1" bestFit="1" customWidth="1"/>
    <col min="8202" max="8204" width="9.28515625" style="1" bestFit="1" customWidth="1"/>
    <col min="8205" max="8215" width="9.140625" style="1"/>
    <col min="8216" max="8216" width="20" style="1" customWidth="1"/>
    <col min="8217" max="8455" width="9.140625" style="1"/>
    <col min="8456" max="8456" width="9.28515625" style="1" bestFit="1" customWidth="1"/>
    <col min="8457" max="8457" width="9.5703125" style="1" bestFit="1" customWidth="1"/>
    <col min="8458" max="8460" width="9.28515625" style="1" bestFit="1" customWidth="1"/>
    <col min="8461" max="8471" width="9.140625" style="1"/>
    <col min="8472" max="8472" width="20" style="1" customWidth="1"/>
    <col min="8473" max="8711" width="9.140625" style="1"/>
    <col min="8712" max="8712" width="9.28515625" style="1" bestFit="1" customWidth="1"/>
    <col min="8713" max="8713" width="9.5703125" style="1" bestFit="1" customWidth="1"/>
    <col min="8714" max="8716" width="9.28515625" style="1" bestFit="1" customWidth="1"/>
    <col min="8717" max="8727" width="9.140625" style="1"/>
    <col min="8728" max="8728" width="20" style="1" customWidth="1"/>
    <col min="8729" max="8967" width="9.140625" style="1"/>
    <col min="8968" max="8968" width="9.28515625" style="1" bestFit="1" customWidth="1"/>
    <col min="8969" max="8969" width="9.5703125" style="1" bestFit="1" customWidth="1"/>
    <col min="8970" max="8972" width="9.28515625" style="1" bestFit="1" customWidth="1"/>
    <col min="8973" max="8983" width="9.140625" style="1"/>
    <col min="8984" max="8984" width="20" style="1" customWidth="1"/>
    <col min="8985" max="9223" width="9.140625" style="1"/>
    <col min="9224" max="9224" width="9.28515625" style="1" bestFit="1" customWidth="1"/>
    <col min="9225" max="9225" width="9.5703125" style="1" bestFit="1" customWidth="1"/>
    <col min="9226" max="9228" width="9.28515625" style="1" bestFit="1" customWidth="1"/>
    <col min="9229" max="9239" width="9.140625" style="1"/>
    <col min="9240" max="9240" width="20" style="1" customWidth="1"/>
    <col min="9241" max="9479" width="9.140625" style="1"/>
    <col min="9480" max="9480" width="9.28515625" style="1" bestFit="1" customWidth="1"/>
    <col min="9481" max="9481" width="9.5703125" style="1" bestFit="1" customWidth="1"/>
    <col min="9482" max="9484" width="9.28515625" style="1" bestFit="1" customWidth="1"/>
    <col min="9485" max="9495" width="9.140625" style="1"/>
    <col min="9496" max="9496" width="20" style="1" customWidth="1"/>
    <col min="9497" max="9735" width="9.140625" style="1"/>
    <col min="9736" max="9736" width="9.28515625" style="1" bestFit="1" customWidth="1"/>
    <col min="9737" max="9737" width="9.5703125" style="1" bestFit="1" customWidth="1"/>
    <col min="9738" max="9740" width="9.28515625" style="1" bestFit="1" customWidth="1"/>
    <col min="9741" max="9751" width="9.140625" style="1"/>
    <col min="9752" max="9752" width="20" style="1" customWidth="1"/>
    <col min="9753" max="9991" width="9.140625" style="1"/>
    <col min="9992" max="9992" width="9.28515625" style="1" bestFit="1" customWidth="1"/>
    <col min="9993" max="9993" width="9.5703125" style="1" bestFit="1" customWidth="1"/>
    <col min="9994" max="9996" width="9.28515625" style="1" bestFit="1" customWidth="1"/>
    <col min="9997" max="10007" width="9.140625" style="1"/>
    <col min="10008" max="10008" width="20" style="1" customWidth="1"/>
    <col min="10009" max="10247" width="9.140625" style="1"/>
    <col min="10248" max="10248" width="9.28515625" style="1" bestFit="1" customWidth="1"/>
    <col min="10249" max="10249" width="9.5703125" style="1" bestFit="1" customWidth="1"/>
    <col min="10250" max="10252" width="9.28515625" style="1" bestFit="1" customWidth="1"/>
    <col min="10253" max="10263" width="9.140625" style="1"/>
    <col min="10264" max="10264" width="20" style="1" customWidth="1"/>
    <col min="10265" max="10503" width="9.140625" style="1"/>
    <col min="10504" max="10504" width="9.28515625" style="1" bestFit="1" customWidth="1"/>
    <col min="10505" max="10505" width="9.5703125" style="1" bestFit="1" customWidth="1"/>
    <col min="10506" max="10508" width="9.28515625" style="1" bestFit="1" customWidth="1"/>
    <col min="10509" max="10519" width="9.140625" style="1"/>
    <col min="10520" max="10520" width="20" style="1" customWidth="1"/>
    <col min="10521" max="10759" width="9.140625" style="1"/>
    <col min="10760" max="10760" width="9.28515625" style="1" bestFit="1" customWidth="1"/>
    <col min="10761" max="10761" width="9.5703125" style="1" bestFit="1" customWidth="1"/>
    <col min="10762" max="10764" width="9.28515625" style="1" bestFit="1" customWidth="1"/>
    <col min="10765" max="10775" width="9.140625" style="1"/>
    <col min="10776" max="10776" width="20" style="1" customWidth="1"/>
    <col min="10777" max="11015" width="9.140625" style="1"/>
    <col min="11016" max="11016" width="9.28515625" style="1" bestFit="1" customWidth="1"/>
    <col min="11017" max="11017" width="9.5703125" style="1" bestFit="1" customWidth="1"/>
    <col min="11018" max="11020" width="9.28515625" style="1" bestFit="1" customWidth="1"/>
    <col min="11021" max="11031" width="9.140625" style="1"/>
    <col min="11032" max="11032" width="20" style="1" customWidth="1"/>
    <col min="11033" max="11271" width="9.140625" style="1"/>
    <col min="11272" max="11272" width="9.28515625" style="1" bestFit="1" customWidth="1"/>
    <col min="11273" max="11273" width="9.5703125" style="1" bestFit="1" customWidth="1"/>
    <col min="11274" max="11276" width="9.28515625" style="1" bestFit="1" customWidth="1"/>
    <col min="11277" max="11287" width="9.140625" style="1"/>
    <col min="11288" max="11288" width="20" style="1" customWidth="1"/>
    <col min="11289" max="11527" width="9.140625" style="1"/>
    <col min="11528" max="11528" width="9.28515625" style="1" bestFit="1" customWidth="1"/>
    <col min="11529" max="11529" width="9.5703125" style="1" bestFit="1" customWidth="1"/>
    <col min="11530" max="11532" width="9.28515625" style="1" bestFit="1" customWidth="1"/>
    <col min="11533" max="11543" width="9.140625" style="1"/>
    <col min="11544" max="11544" width="20" style="1" customWidth="1"/>
    <col min="11545" max="11783" width="9.140625" style="1"/>
    <col min="11784" max="11784" width="9.28515625" style="1" bestFit="1" customWidth="1"/>
    <col min="11785" max="11785" width="9.5703125" style="1" bestFit="1" customWidth="1"/>
    <col min="11786" max="11788" width="9.28515625" style="1" bestFit="1" customWidth="1"/>
    <col min="11789" max="11799" width="9.140625" style="1"/>
    <col min="11800" max="11800" width="20" style="1" customWidth="1"/>
    <col min="11801" max="12039" width="9.140625" style="1"/>
    <col min="12040" max="12040" width="9.28515625" style="1" bestFit="1" customWidth="1"/>
    <col min="12041" max="12041" width="9.5703125" style="1" bestFit="1" customWidth="1"/>
    <col min="12042" max="12044" width="9.28515625" style="1" bestFit="1" customWidth="1"/>
    <col min="12045" max="12055" width="9.140625" style="1"/>
    <col min="12056" max="12056" width="20" style="1" customWidth="1"/>
    <col min="12057" max="12295" width="9.140625" style="1"/>
    <col min="12296" max="12296" width="9.28515625" style="1" bestFit="1" customWidth="1"/>
    <col min="12297" max="12297" width="9.5703125" style="1" bestFit="1" customWidth="1"/>
    <col min="12298" max="12300" width="9.28515625" style="1" bestFit="1" customWidth="1"/>
    <col min="12301" max="12311" width="9.140625" style="1"/>
    <col min="12312" max="12312" width="20" style="1" customWidth="1"/>
    <col min="12313" max="12551" width="9.140625" style="1"/>
    <col min="12552" max="12552" width="9.28515625" style="1" bestFit="1" customWidth="1"/>
    <col min="12553" max="12553" width="9.5703125" style="1" bestFit="1" customWidth="1"/>
    <col min="12554" max="12556" width="9.28515625" style="1" bestFit="1" customWidth="1"/>
    <col min="12557" max="12567" width="9.140625" style="1"/>
    <col min="12568" max="12568" width="20" style="1" customWidth="1"/>
    <col min="12569" max="12807" width="9.140625" style="1"/>
    <col min="12808" max="12808" width="9.28515625" style="1" bestFit="1" customWidth="1"/>
    <col min="12809" max="12809" width="9.5703125" style="1" bestFit="1" customWidth="1"/>
    <col min="12810" max="12812" width="9.28515625" style="1" bestFit="1" customWidth="1"/>
    <col min="12813" max="12823" width="9.140625" style="1"/>
    <col min="12824" max="12824" width="20" style="1" customWidth="1"/>
    <col min="12825" max="13063" width="9.140625" style="1"/>
    <col min="13064" max="13064" width="9.28515625" style="1" bestFit="1" customWidth="1"/>
    <col min="13065" max="13065" width="9.5703125" style="1" bestFit="1" customWidth="1"/>
    <col min="13066" max="13068" width="9.28515625" style="1" bestFit="1" customWidth="1"/>
    <col min="13069" max="13079" width="9.140625" style="1"/>
    <col min="13080" max="13080" width="20" style="1" customWidth="1"/>
    <col min="13081" max="13319" width="9.140625" style="1"/>
    <col min="13320" max="13320" width="9.28515625" style="1" bestFit="1" customWidth="1"/>
    <col min="13321" max="13321" width="9.5703125" style="1" bestFit="1" customWidth="1"/>
    <col min="13322" max="13324" width="9.28515625" style="1" bestFit="1" customWidth="1"/>
    <col min="13325" max="13335" width="9.140625" style="1"/>
    <col min="13336" max="13336" width="20" style="1" customWidth="1"/>
    <col min="13337" max="13575" width="9.140625" style="1"/>
    <col min="13576" max="13576" width="9.28515625" style="1" bestFit="1" customWidth="1"/>
    <col min="13577" max="13577" width="9.5703125" style="1" bestFit="1" customWidth="1"/>
    <col min="13578" max="13580" width="9.28515625" style="1" bestFit="1" customWidth="1"/>
    <col min="13581" max="13591" width="9.140625" style="1"/>
    <col min="13592" max="13592" width="20" style="1" customWidth="1"/>
    <col min="13593" max="13831" width="9.140625" style="1"/>
    <col min="13832" max="13832" width="9.28515625" style="1" bestFit="1" customWidth="1"/>
    <col min="13833" max="13833" width="9.5703125" style="1" bestFit="1" customWidth="1"/>
    <col min="13834" max="13836" width="9.28515625" style="1" bestFit="1" customWidth="1"/>
    <col min="13837" max="13847" width="9.140625" style="1"/>
    <col min="13848" max="13848" width="20" style="1" customWidth="1"/>
    <col min="13849" max="14087" width="9.140625" style="1"/>
    <col min="14088" max="14088" width="9.28515625" style="1" bestFit="1" customWidth="1"/>
    <col min="14089" max="14089" width="9.5703125" style="1" bestFit="1" customWidth="1"/>
    <col min="14090" max="14092" width="9.28515625" style="1" bestFit="1" customWidth="1"/>
    <col min="14093" max="14103" width="9.140625" style="1"/>
    <col min="14104" max="14104" width="20" style="1" customWidth="1"/>
    <col min="14105" max="14343" width="9.140625" style="1"/>
    <col min="14344" max="14344" width="9.28515625" style="1" bestFit="1" customWidth="1"/>
    <col min="14345" max="14345" width="9.5703125" style="1" bestFit="1" customWidth="1"/>
    <col min="14346" max="14348" width="9.28515625" style="1" bestFit="1" customWidth="1"/>
    <col min="14349" max="14359" width="9.140625" style="1"/>
    <col min="14360" max="14360" width="20" style="1" customWidth="1"/>
    <col min="14361" max="14599" width="9.140625" style="1"/>
    <col min="14600" max="14600" width="9.28515625" style="1" bestFit="1" customWidth="1"/>
    <col min="14601" max="14601" width="9.5703125" style="1" bestFit="1" customWidth="1"/>
    <col min="14602" max="14604" width="9.28515625" style="1" bestFit="1" customWidth="1"/>
    <col min="14605" max="14615" width="9.140625" style="1"/>
    <col min="14616" max="14616" width="20" style="1" customWidth="1"/>
    <col min="14617" max="14855" width="9.140625" style="1"/>
    <col min="14856" max="14856" width="9.28515625" style="1" bestFit="1" customWidth="1"/>
    <col min="14857" max="14857" width="9.5703125" style="1" bestFit="1" customWidth="1"/>
    <col min="14858" max="14860" width="9.28515625" style="1" bestFit="1" customWidth="1"/>
    <col min="14861" max="14871" width="9.140625" style="1"/>
    <col min="14872" max="14872" width="20" style="1" customWidth="1"/>
    <col min="14873" max="15111" width="9.140625" style="1"/>
    <col min="15112" max="15112" width="9.28515625" style="1" bestFit="1" customWidth="1"/>
    <col min="15113" max="15113" width="9.5703125" style="1" bestFit="1" customWidth="1"/>
    <col min="15114" max="15116" width="9.28515625" style="1" bestFit="1" customWidth="1"/>
    <col min="15117" max="15127" width="9.140625" style="1"/>
    <col min="15128" max="15128" width="20" style="1" customWidth="1"/>
    <col min="15129" max="15367" width="9.140625" style="1"/>
    <col min="15368" max="15368" width="9.28515625" style="1" bestFit="1" customWidth="1"/>
    <col min="15369" max="15369" width="9.5703125" style="1" bestFit="1" customWidth="1"/>
    <col min="15370" max="15372" width="9.28515625" style="1" bestFit="1" customWidth="1"/>
    <col min="15373" max="15383" width="9.140625" style="1"/>
    <col min="15384" max="15384" width="20" style="1" customWidth="1"/>
    <col min="15385" max="15623" width="9.140625" style="1"/>
    <col min="15624" max="15624" width="9.28515625" style="1" bestFit="1" customWidth="1"/>
    <col min="15625" max="15625" width="9.5703125" style="1" bestFit="1" customWidth="1"/>
    <col min="15626" max="15628" width="9.28515625" style="1" bestFit="1" customWidth="1"/>
    <col min="15629" max="15639" width="9.140625" style="1"/>
    <col min="15640" max="15640" width="20" style="1" customWidth="1"/>
    <col min="15641" max="15879" width="9.140625" style="1"/>
    <col min="15880" max="15880" width="9.28515625" style="1" bestFit="1" customWidth="1"/>
    <col min="15881" max="15881" width="9.5703125" style="1" bestFit="1" customWidth="1"/>
    <col min="15882" max="15884" width="9.28515625" style="1" bestFit="1" customWidth="1"/>
    <col min="15885" max="15895" width="9.140625" style="1"/>
    <col min="15896" max="15896" width="20" style="1" customWidth="1"/>
    <col min="15897" max="16135" width="9.140625" style="1"/>
    <col min="16136" max="16136" width="9.28515625" style="1" bestFit="1" customWidth="1"/>
    <col min="16137" max="16137" width="9.5703125" style="1" bestFit="1" customWidth="1"/>
    <col min="16138" max="16140" width="9.28515625" style="1" bestFit="1" customWidth="1"/>
    <col min="16141" max="16151" width="9.140625" style="1"/>
    <col min="16152" max="16152" width="20" style="1" customWidth="1"/>
    <col min="16153" max="16384" width="9.140625" style="1"/>
  </cols>
  <sheetData>
    <row r="1" spans="1:26" ht="45.75" customHeight="1" x14ac:dyDescent="0.2"/>
    <row r="2" spans="1:26" ht="381.75" customHeight="1" x14ac:dyDescent="0.2">
      <c r="A2" s="4" t="s">
        <v>59</v>
      </c>
    </row>
    <row r="3" spans="1:26" ht="15" x14ac:dyDescent="0.2">
      <c r="B3" s="15"/>
      <c r="U3" s="1">
        <f>H3</f>
        <v>0</v>
      </c>
      <c r="V3" s="6">
        <f>IF(S3&lt;=0,J3,#N/A)</f>
        <v>0</v>
      </c>
      <c r="W3" s="6">
        <f>K3</f>
        <v>0</v>
      </c>
      <c r="X3" s="6" t="e">
        <f>IF(S3&gt;0,J3,#N/A)</f>
        <v>#N/A</v>
      </c>
      <c r="Y3" s="6" t="e">
        <f>IF(T3&gt;0,J3*EXP(-1.96*N3),#N/A)</f>
        <v>#N/A</v>
      </c>
      <c r="Z3" s="6" t="e">
        <f>IF(T3&gt;0,J3*EXP(1.96*N3),#N/A)</f>
        <v>#N/A</v>
      </c>
    </row>
    <row r="4" spans="1:26" ht="15" x14ac:dyDescent="0.25">
      <c r="A4" s="16" t="s">
        <v>0</v>
      </c>
      <c r="B4" s="16" t="s">
        <v>211</v>
      </c>
      <c r="C4" s="16" t="s">
        <v>90</v>
      </c>
      <c r="D4" s="16" t="s">
        <v>2</v>
      </c>
      <c r="E4" s="16" t="s">
        <v>1</v>
      </c>
      <c r="F4" s="16" t="s">
        <v>202</v>
      </c>
      <c r="G4" s="16" t="s">
        <v>194</v>
      </c>
      <c r="H4" s="16" t="s">
        <v>195</v>
      </c>
      <c r="I4" s="16" t="s">
        <v>21</v>
      </c>
      <c r="J4" s="16" t="s">
        <v>3</v>
      </c>
      <c r="K4" s="16" t="s">
        <v>4</v>
      </c>
      <c r="L4" s="16" t="s">
        <v>123</v>
      </c>
      <c r="M4" s="16" t="s">
        <v>22</v>
      </c>
      <c r="N4" s="16" t="s">
        <v>23</v>
      </c>
      <c r="O4" s="16" t="s">
        <v>223</v>
      </c>
      <c r="P4" s="16" t="s">
        <v>24</v>
      </c>
      <c r="Q4" s="16" t="s">
        <v>5</v>
      </c>
      <c r="R4" s="16" t="s">
        <v>25</v>
      </c>
      <c r="S4" s="16" t="s">
        <v>155</v>
      </c>
      <c r="T4" s="16" t="s">
        <v>165</v>
      </c>
      <c r="U4" s="16" t="s">
        <v>195</v>
      </c>
      <c r="V4" s="16" t="s">
        <v>247</v>
      </c>
      <c r="W4" s="16" t="s">
        <v>4</v>
      </c>
      <c r="X4" s="1" t="s">
        <v>3</v>
      </c>
      <c r="Y4" s="1" t="s">
        <v>85</v>
      </c>
      <c r="Z4" s="1" t="s">
        <v>86</v>
      </c>
    </row>
    <row r="5" spans="1:26" ht="15" x14ac:dyDescent="0.25">
      <c r="A5" s="16">
        <v>2</v>
      </c>
      <c r="B5" s="16" t="s">
        <v>260</v>
      </c>
      <c r="C5" s="16">
        <v>1</v>
      </c>
      <c r="D5" s="16">
        <v>1977</v>
      </c>
      <c r="E5" s="16">
        <v>1</v>
      </c>
      <c r="F5" s="16">
        <v>2</v>
      </c>
      <c r="G5" s="16">
        <v>7</v>
      </c>
      <c r="H5" s="16">
        <v>1977.5</v>
      </c>
      <c r="I5" s="16">
        <v>110480</v>
      </c>
      <c r="J5" s="16">
        <v>339689</v>
      </c>
      <c r="K5" s="16">
        <v>185091</v>
      </c>
      <c r="L5" s="16">
        <v>1.6753400000000001</v>
      </c>
      <c r="M5" s="16">
        <v>1.6753400000000001</v>
      </c>
      <c r="N5" s="16">
        <v>0.3</v>
      </c>
      <c r="O5" s="16">
        <v>0.3</v>
      </c>
      <c r="P5" s="16">
        <v>0.60718000000000005</v>
      </c>
      <c r="Q5" s="16">
        <v>2.0481500000000001</v>
      </c>
      <c r="R5" s="16">
        <v>0.84418199999999999</v>
      </c>
      <c r="S5" s="16" t="s">
        <v>89</v>
      </c>
      <c r="T5" s="16">
        <v>1</v>
      </c>
      <c r="U5" s="1">
        <f t="shared" ref="U5:U6" si="0">H5</f>
        <v>1977.5</v>
      </c>
      <c r="V5" s="6" t="e">
        <f t="shared" ref="V5:V6" si="1">IF(S5&lt;=0,J5,#N/A)</f>
        <v>#N/A</v>
      </c>
      <c r="W5" s="6">
        <f t="shared" ref="W5:W6" si="2">K5</f>
        <v>185091</v>
      </c>
      <c r="X5" s="6">
        <f t="shared" ref="X5:X6" si="3">IF(S5&gt;0,J5,#N/A)</f>
        <v>339689</v>
      </c>
      <c r="Y5" s="6">
        <f t="shared" ref="Y5:Y6" si="4">IF(T5&gt;0,J5*EXP(-1.96*N5),#N/A)</f>
        <v>188675.85563518113</v>
      </c>
      <c r="Z5" s="6">
        <f t="shared" ref="Z5:Z6" si="5">IF(T5&gt;0,J5*EXP(1.96*N5),#N/A)</f>
        <v>611570.65556979645</v>
      </c>
    </row>
    <row r="6" spans="1:26" ht="15" x14ac:dyDescent="0.25">
      <c r="A6" s="16">
        <v>2</v>
      </c>
      <c r="B6" s="16" t="s">
        <v>260</v>
      </c>
      <c r="C6" s="16">
        <v>1</v>
      </c>
      <c r="D6" s="16">
        <v>1980</v>
      </c>
      <c r="E6" s="16">
        <v>1</v>
      </c>
      <c r="F6" s="16">
        <v>2</v>
      </c>
      <c r="G6" s="16">
        <v>7</v>
      </c>
      <c r="H6" s="16">
        <v>1980.5</v>
      </c>
      <c r="I6" s="16">
        <v>96891</v>
      </c>
      <c r="J6" s="16">
        <v>193353</v>
      </c>
      <c r="K6" s="16">
        <v>162326</v>
      </c>
      <c r="L6" s="16">
        <v>1.6753400000000001</v>
      </c>
      <c r="M6" s="16">
        <v>1.6753400000000001</v>
      </c>
      <c r="N6" s="16">
        <v>0.3</v>
      </c>
      <c r="O6" s="16">
        <v>0.3</v>
      </c>
      <c r="P6" s="16">
        <v>0.17491300000000001</v>
      </c>
      <c r="Q6" s="16">
        <v>0.16997100000000001</v>
      </c>
      <c r="R6" s="16">
        <v>-1.034</v>
      </c>
      <c r="S6" s="16" t="s">
        <v>89</v>
      </c>
      <c r="T6" s="16">
        <v>1</v>
      </c>
      <c r="U6" s="1">
        <f t="shared" si="0"/>
        <v>1980.5</v>
      </c>
      <c r="V6" s="6" t="e">
        <f t="shared" si="1"/>
        <v>#N/A</v>
      </c>
      <c r="W6" s="6">
        <f t="shared" si="2"/>
        <v>162326</v>
      </c>
      <c r="X6" s="6">
        <f t="shared" si="3"/>
        <v>193353</v>
      </c>
      <c r="Y6" s="6">
        <f t="shared" si="4"/>
        <v>107395.41967690793</v>
      </c>
      <c r="Z6" s="6">
        <f t="shared" si="5"/>
        <v>348109.65608655819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I7"/>
  <sheetViews>
    <sheetView workbookViewId="0"/>
  </sheetViews>
  <sheetFormatPr defaultRowHeight="15" x14ac:dyDescent="0.25"/>
  <sheetData>
    <row r="1" spans="1:139" ht="257.25" customHeight="1" x14ac:dyDescent="0.25">
      <c r="L1" s="15"/>
    </row>
    <row r="3" spans="1:139" x14ac:dyDescent="0.25">
      <c r="B3" s="16"/>
      <c r="D3" s="16"/>
      <c r="E3" s="16"/>
      <c r="F3" s="16"/>
      <c r="G3" s="16"/>
      <c r="J3" s="16"/>
      <c r="K3" s="2"/>
      <c r="V3" s="6">
        <f>IF(Q3&lt;=0,I3,#N/A)</f>
        <v>0</v>
      </c>
      <c r="W3" s="6" t="e">
        <f>IF(Q3&gt;0,I3,#N/A)</f>
        <v>#N/A</v>
      </c>
      <c r="X3" s="6" t="e">
        <f>IF(Q3&gt;0,I3*EXP(-1.96*L3),#N/A)</f>
        <v>#N/A</v>
      </c>
      <c r="Y3" s="6" t="e">
        <f>IF(Q3&gt;0,I3*EXP(1.96*L3),#N/A)</f>
        <v>#N/A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</row>
    <row r="4" spans="1:139" x14ac:dyDescent="0.25">
      <c r="A4" s="16" t="s">
        <v>227</v>
      </c>
      <c r="B4" s="16" t="s">
        <v>228</v>
      </c>
      <c r="C4" s="16" t="s">
        <v>229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V4" s="5" t="s">
        <v>87</v>
      </c>
      <c r="W4" s="5" t="s">
        <v>60</v>
      </c>
      <c r="X4" s="1" t="s">
        <v>85</v>
      </c>
      <c r="Y4" s="1" t="s">
        <v>86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1:139" x14ac:dyDescent="0.25">
      <c r="A5" s="16" t="s">
        <v>230</v>
      </c>
      <c r="B5" s="16" t="s">
        <v>231</v>
      </c>
      <c r="C5" s="16" t="s">
        <v>232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V5" s="6">
        <f t="shared" ref="V5:V7" si="0">IF(Q5&lt;=0,I5,#N/A)</f>
        <v>0</v>
      </c>
      <c r="W5" s="6" t="e">
        <f t="shared" ref="W5:W7" si="1">IF(Q5&gt;0,I5,#N/A)</f>
        <v>#N/A</v>
      </c>
      <c r="X5" s="6" t="e">
        <f t="shared" ref="X5:X7" si="2">IF(Q5&gt;0,I5*EXP(-1.96*L5),#N/A)</f>
        <v>#N/A</v>
      </c>
      <c r="Y5" s="6" t="e">
        <f t="shared" ref="Y5:Y7" si="3">IF(Q5&gt;0,I5*EXP(1.96*L5),#N/A)</f>
        <v>#N/A</v>
      </c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</row>
    <row r="6" spans="1:139" x14ac:dyDescent="0.25">
      <c r="A6" s="16" t="s">
        <v>233</v>
      </c>
      <c r="B6" s="16" t="s">
        <v>234</v>
      </c>
      <c r="C6" s="16" t="s">
        <v>235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V6" s="6">
        <f t="shared" si="0"/>
        <v>0</v>
      </c>
      <c r="W6" s="6" t="e">
        <f t="shared" si="1"/>
        <v>#N/A</v>
      </c>
      <c r="X6" s="6" t="e">
        <f t="shared" si="2"/>
        <v>#N/A</v>
      </c>
      <c r="Y6" s="6" t="e">
        <f t="shared" si="3"/>
        <v>#N/A</v>
      </c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</row>
    <row r="7" spans="1:139" x14ac:dyDescent="0.25">
      <c r="A7" s="16" t="s">
        <v>208</v>
      </c>
      <c r="B7" s="16" t="s">
        <v>236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V7" s="6">
        <f t="shared" si="0"/>
        <v>0</v>
      </c>
      <c r="W7" s="6" t="e">
        <f t="shared" si="1"/>
        <v>#N/A</v>
      </c>
      <c r="X7" s="6" t="e">
        <f t="shared" si="2"/>
        <v>#N/A</v>
      </c>
      <c r="Y7" s="6" t="e">
        <f t="shared" si="3"/>
        <v>#N/A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"/>
  <sheetViews>
    <sheetView workbookViewId="0"/>
  </sheetViews>
  <sheetFormatPr defaultRowHeight="15" x14ac:dyDescent="0.25"/>
  <sheetData>
    <row r="1" spans="1:17" ht="210" customHeight="1" x14ac:dyDescent="0.25">
      <c r="Q1" s="15"/>
    </row>
    <row r="2" spans="1:17" x14ac:dyDescent="0.25">
      <c r="A2" s="16" t="s">
        <v>90</v>
      </c>
      <c r="B2" s="16" t="s">
        <v>2</v>
      </c>
      <c r="C2" s="16" t="s">
        <v>91</v>
      </c>
      <c r="D2" s="16" t="s">
        <v>1</v>
      </c>
      <c r="E2" s="16" t="s">
        <v>92</v>
      </c>
      <c r="F2" s="16" t="s">
        <v>93</v>
      </c>
      <c r="G2" s="16" t="s">
        <v>94</v>
      </c>
      <c r="H2" s="16" t="s">
        <v>95</v>
      </c>
    </row>
    <row r="3" spans="1:17" x14ac:dyDescent="0.25">
      <c r="A3" s="16">
        <v>1</v>
      </c>
      <c r="B3" s="16">
        <v>1969</v>
      </c>
      <c r="C3" s="16" t="s">
        <v>96</v>
      </c>
      <c r="D3" s="16">
        <v>1</v>
      </c>
      <c r="E3" s="16">
        <v>124649</v>
      </c>
      <c r="F3" s="16">
        <v>124144</v>
      </c>
      <c r="G3" s="16">
        <v>49909.7</v>
      </c>
      <c r="H3" s="16">
        <v>6734.87</v>
      </c>
    </row>
    <row r="4" spans="1:17" x14ac:dyDescent="0.25">
      <c r="A4" s="16">
        <v>1</v>
      </c>
      <c r="B4" s="16">
        <v>1970</v>
      </c>
      <c r="C4" s="16" t="s">
        <v>212</v>
      </c>
      <c r="D4" s="16">
        <v>1</v>
      </c>
      <c r="E4" s="16">
        <v>124649</v>
      </c>
      <c r="F4" s="16">
        <v>124144</v>
      </c>
      <c r="G4" s="16">
        <v>49909.7</v>
      </c>
      <c r="H4" s="16">
        <v>6734.87</v>
      </c>
    </row>
    <row r="5" spans="1:17" x14ac:dyDescent="0.25">
      <c r="A5" s="16">
        <v>1</v>
      </c>
      <c r="B5" s="16">
        <v>1971</v>
      </c>
      <c r="C5" s="16" t="s">
        <v>213</v>
      </c>
      <c r="D5" s="16">
        <v>1</v>
      </c>
      <c r="E5" s="16">
        <v>124623</v>
      </c>
      <c r="F5" s="16">
        <v>124144</v>
      </c>
      <c r="G5" s="16">
        <v>49909.7</v>
      </c>
      <c r="H5" s="16">
        <v>6385.94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0"/>
  <sheetViews>
    <sheetView workbookViewId="0"/>
  </sheetViews>
  <sheetFormatPr defaultRowHeight="15" x14ac:dyDescent="0.25"/>
  <sheetData>
    <row r="1" spans="1:26" ht="119.25" customHeight="1" x14ac:dyDescent="0.25"/>
    <row r="2" spans="1:26" ht="120" customHeight="1" x14ac:dyDescent="0.25">
      <c r="L2" s="15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6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6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6" x14ac:dyDescent="0.25">
      <c r="A8" s="16" t="s">
        <v>2</v>
      </c>
      <c r="B8" s="16" t="s">
        <v>91</v>
      </c>
      <c r="C8" s="16" t="s">
        <v>92</v>
      </c>
      <c r="D8" s="16" t="s">
        <v>98</v>
      </c>
      <c r="E8" s="16" t="s">
        <v>180</v>
      </c>
      <c r="F8" s="16" t="s">
        <v>181</v>
      </c>
      <c r="G8" s="16" t="s">
        <v>182</v>
      </c>
      <c r="H8" s="16" t="s">
        <v>99</v>
      </c>
      <c r="I8" s="16" t="s">
        <v>183</v>
      </c>
      <c r="J8" s="16" t="s">
        <v>184</v>
      </c>
      <c r="K8" s="16" t="s">
        <v>100</v>
      </c>
      <c r="L8" s="16" t="s">
        <v>101</v>
      </c>
      <c r="M8" s="16" t="s">
        <v>179</v>
      </c>
      <c r="N8" s="16" t="s">
        <v>102</v>
      </c>
      <c r="O8" s="16" t="s">
        <v>92</v>
      </c>
      <c r="P8" s="16" t="s">
        <v>98</v>
      </c>
      <c r="Q8" s="16" t="s">
        <v>135</v>
      </c>
      <c r="R8" s="16" t="s">
        <v>166</v>
      </c>
      <c r="S8" s="16" t="s">
        <v>103</v>
      </c>
      <c r="T8" s="16" t="s">
        <v>104</v>
      </c>
      <c r="U8" s="16" t="s">
        <v>105</v>
      </c>
    </row>
    <row r="9" spans="1:26" x14ac:dyDescent="0.25">
      <c r="A9" s="16">
        <v>1971</v>
      </c>
      <c r="B9" s="16" t="s">
        <v>213</v>
      </c>
      <c r="C9" s="16">
        <v>124649</v>
      </c>
      <c r="D9" s="16">
        <v>124144</v>
      </c>
      <c r="E9" s="16">
        <v>49909.7</v>
      </c>
      <c r="F9" s="16">
        <v>49909.7</v>
      </c>
      <c r="G9" s="16">
        <v>7.4106500000000004</v>
      </c>
      <c r="H9" s="16">
        <v>1</v>
      </c>
      <c r="I9" s="16" t="s">
        <v>89</v>
      </c>
      <c r="J9" s="16">
        <v>0</v>
      </c>
      <c r="K9" s="16">
        <v>18.6328</v>
      </c>
      <c r="L9" s="16"/>
      <c r="M9" s="16" t="s">
        <v>89</v>
      </c>
      <c r="N9" s="16" t="s">
        <v>106</v>
      </c>
      <c r="O9" s="16">
        <v>124623</v>
      </c>
      <c r="P9" s="16">
        <v>124144</v>
      </c>
      <c r="Q9" s="16">
        <v>64037.3</v>
      </c>
      <c r="R9" s="16">
        <v>10.315899999999999</v>
      </c>
      <c r="S9" s="16">
        <v>0</v>
      </c>
      <c r="T9" s="16">
        <v>0</v>
      </c>
      <c r="U9" s="16">
        <v>0</v>
      </c>
      <c r="W9" s="7"/>
      <c r="X9" s="7"/>
      <c r="Y9" s="7"/>
      <c r="Z9" s="7"/>
    </row>
    <row r="10" spans="1:26" x14ac:dyDescent="0.25">
      <c r="A10" s="16">
        <v>1972</v>
      </c>
      <c r="B10" s="16" t="s">
        <v>213</v>
      </c>
      <c r="C10" s="16">
        <v>122275</v>
      </c>
      <c r="D10" s="16">
        <v>121770</v>
      </c>
      <c r="E10" s="16">
        <v>49909.7</v>
      </c>
      <c r="F10" s="16">
        <v>48735.1</v>
      </c>
      <c r="G10" s="16">
        <v>7.2362399999999996</v>
      </c>
      <c r="H10" s="16">
        <v>0.97646500000000003</v>
      </c>
      <c r="I10" s="16">
        <v>2.3534599999999999E-2</v>
      </c>
      <c r="J10" s="16">
        <v>2.9052499999999998E-2</v>
      </c>
      <c r="K10" s="16">
        <v>18.6328</v>
      </c>
      <c r="L10" s="16"/>
      <c r="M10" s="16">
        <v>2.1108099999999999E-3</v>
      </c>
      <c r="N10" s="16" t="s">
        <v>106</v>
      </c>
      <c r="O10" s="16">
        <v>124479</v>
      </c>
      <c r="P10" s="16">
        <v>124082</v>
      </c>
      <c r="Q10" s="16">
        <v>63721.599999999999</v>
      </c>
      <c r="R10" s="16">
        <v>10.362</v>
      </c>
      <c r="S10" s="16">
        <v>200</v>
      </c>
      <c r="T10" s="16">
        <v>200</v>
      </c>
      <c r="U10" s="16">
        <v>200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29"/>
  <sheetViews>
    <sheetView zoomScale="85" zoomScaleNormal="85" workbookViewId="0"/>
  </sheetViews>
  <sheetFormatPr defaultRowHeight="12.75" x14ac:dyDescent="0.2"/>
  <cols>
    <col min="1" max="1" width="10.140625" style="20" customWidth="1"/>
    <col min="2" max="3" width="14.140625" style="20" customWidth="1"/>
    <col min="4" max="4" width="14.42578125" style="20" customWidth="1"/>
    <col min="5" max="5" width="12.7109375" style="20" customWidth="1"/>
    <col min="6" max="6" width="25.5703125" style="20" customWidth="1"/>
    <col min="7" max="8" width="13.28515625" style="20" customWidth="1"/>
    <col min="9" max="9" width="16.7109375" style="20" customWidth="1"/>
    <col min="10" max="10" width="17.28515625" style="20" customWidth="1"/>
    <col min="11" max="11" width="17.5703125" style="20" customWidth="1"/>
    <col min="12" max="12" width="17.28515625" style="20" customWidth="1"/>
    <col min="13" max="13" width="11.85546875" style="20" customWidth="1"/>
    <col min="14" max="14" width="8.140625" style="20" customWidth="1"/>
    <col min="15" max="15" width="7.5703125" style="20" customWidth="1"/>
    <col min="16" max="16" width="14.7109375" style="20" customWidth="1"/>
    <col min="17" max="17" width="9.28515625" style="20" customWidth="1"/>
    <col min="18" max="18" width="8.7109375" style="20" customWidth="1"/>
    <col min="19" max="19" width="8.42578125" style="20" customWidth="1"/>
    <col min="20" max="20" width="16.42578125" style="20" customWidth="1"/>
    <col min="21" max="21" width="15.5703125" style="20" customWidth="1"/>
    <col min="22" max="22" width="9.5703125" style="20" customWidth="1"/>
    <col min="23" max="23" width="14.7109375" style="20" bestFit="1" customWidth="1"/>
    <col min="24" max="24" width="9.28515625" style="20" bestFit="1" customWidth="1"/>
    <col min="25" max="32" width="9.140625" style="20"/>
    <col min="33" max="35" width="9.28515625" style="20" bestFit="1" customWidth="1"/>
    <col min="36" max="257" width="9.140625" style="20"/>
    <col min="258" max="258" width="5.28515625" style="20" customWidth="1"/>
    <col min="259" max="260" width="9.5703125" style="20" customWidth="1"/>
    <col min="261" max="261" width="7.85546875" style="20" customWidth="1"/>
    <col min="262" max="262" width="22.140625" style="20" customWidth="1"/>
    <col min="263" max="263" width="8.7109375" style="20" customWidth="1"/>
    <col min="264" max="264" width="8.140625" style="20" customWidth="1"/>
    <col min="265" max="265" width="13" style="20" customWidth="1"/>
    <col min="266" max="266" width="13.5703125" style="20" customWidth="1"/>
    <col min="267" max="268" width="13.28515625" style="20" customWidth="1"/>
    <col min="269" max="269" width="6.7109375" style="20" customWidth="1"/>
    <col min="270" max="270" width="8.140625" style="20" customWidth="1"/>
    <col min="271" max="271" width="7.28515625" style="20" customWidth="1"/>
    <col min="272" max="272" width="15" style="20" customWidth="1"/>
    <col min="273" max="273" width="3.85546875" style="20" customWidth="1"/>
    <col min="274" max="274" width="10.85546875" style="20" bestFit="1" customWidth="1"/>
    <col min="275" max="275" width="10.5703125" style="20" bestFit="1" customWidth="1"/>
    <col min="276" max="276" width="20.85546875" style="20" bestFit="1" customWidth="1"/>
    <col min="277" max="277" width="19.85546875" style="20" bestFit="1" customWidth="1"/>
    <col min="278" max="278" width="12" style="20" bestFit="1" customWidth="1"/>
    <col min="279" max="513" width="9.140625" style="20"/>
    <col min="514" max="514" width="5.28515625" style="20" customWidth="1"/>
    <col min="515" max="516" width="9.5703125" style="20" customWidth="1"/>
    <col min="517" max="517" width="7.85546875" style="20" customWidth="1"/>
    <col min="518" max="518" width="22.140625" style="20" customWidth="1"/>
    <col min="519" max="519" width="8.7109375" style="20" customWidth="1"/>
    <col min="520" max="520" width="8.140625" style="20" customWidth="1"/>
    <col min="521" max="521" width="13" style="20" customWidth="1"/>
    <col min="522" max="522" width="13.5703125" style="20" customWidth="1"/>
    <col min="523" max="524" width="13.28515625" style="20" customWidth="1"/>
    <col min="525" max="525" width="6.7109375" style="20" customWidth="1"/>
    <col min="526" max="526" width="8.140625" style="20" customWidth="1"/>
    <col min="527" max="527" width="7.28515625" style="20" customWidth="1"/>
    <col min="528" max="528" width="15" style="20" customWidth="1"/>
    <col min="529" max="529" width="3.85546875" style="20" customWidth="1"/>
    <col min="530" max="530" width="10.85546875" style="20" bestFit="1" customWidth="1"/>
    <col min="531" max="531" width="10.5703125" style="20" bestFit="1" customWidth="1"/>
    <col min="532" max="532" width="20.85546875" style="20" bestFit="1" customWidth="1"/>
    <col min="533" max="533" width="19.85546875" style="20" bestFit="1" customWidth="1"/>
    <col min="534" max="534" width="12" style="20" bestFit="1" customWidth="1"/>
    <col min="535" max="769" width="9.140625" style="20"/>
    <col min="770" max="770" width="5.28515625" style="20" customWidth="1"/>
    <col min="771" max="772" width="9.5703125" style="20" customWidth="1"/>
    <col min="773" max="773" width="7.85546875" style="20" customWidth="1"/>
    <col min="774" max="774" width="22.140625" style="20" customWidth="1"/>
    <col min="775" max="775" width="8.7109375" style="20" customWidth="1"/>
    <col min="776" max="776" width="8.140625" style="20" customWidth="1"/>
    <col min="777" max="777" width="13" style="20" customWidth="1"/>
    <col min="778" max="778" width="13.5703125" style="20" customWidth="1"/>
    <col min="779" max="780" width="13.28515625" style="20" customWidth="1"/>
    <col min="781" max="781" width="6.7109375" style="20" customWidth="1"/>
    <col min="782" max="782" width="8.140625" style="20" customWidth="1"/>
    <col min="783" max="783" width="7.28515625" style="20" customWidth="1"/>
    <col min="784" max="784" width="15" style="20" customWidth="1"/>
    <col min="785" max="785" width="3.85546875" style="20" customWidth="1"/>
    <col min="786" max="786" width="10.85546875" style="20" bestFit="1" customWidth="1"/>
    <col min="787" max="787" width="10.5703125" style="20" bestFit="1" customWidth="1"/>
    <col min="788" max="788" width="20.85546875" style="20" bestFit="1" customWidth="1"/>
    <col min="789" max="789" width="19.85546875" style="20" bestFit="1" customWidth="1"/>
    <col min="790" max="790" width="12" style="20" bestFit="1" customWidth="1"/>
    <col min="791" max="1025" width="9.140625" style="20"/>
    <col min="1026" max="1026" width="5.28515625" style="20" customWidth="1"/>
    <col min="1027" max="1028" width="9.5703125" style="20" customWidth="1"/>
    <col min="1029" max="1029" width="7.85546875" style="20" customWidth="1"/>
    <col min="1030" max="1030" width="22.140625" style="20" customWidth="1"/>
    <col min="1031" max="1031" width="8.7109375" style="20" customWidth="1"/>
    <col min="1032" max="1032" width="8.140625" style="20" customWidth="1"/>
    <col min="1033" max="1033" width="13" style="20" customWidth="1"/>
    <col min="1034" max="1034" width="13.5703125" style="20" customWidth="1"/>
    <col min="1035" max="1036" width="13.28515625" style="20" customWidth="1"/>
    <col min="1037" max="1037" width="6.7109375" style="20" customWidth="1"/>
    <col min="1038" max="1038" width="8.140625" style="20" customWidth="1"/>
    <col min="1039" max="1039" width="7.28515625" style="20" customWidth="1"/>
    <col min="1040" max="1040" width="15" style="20" customWidth="1"/>
    <col min="1041" max="1041" width="3.85546875" style="20" customWidth="1"/>
    <col min="1042" max="1042" width="10.85546875" style="20" bestFit="1" customWidth="1"/>
    <col min="1043" max="1043" width="10.5703125" style="20" bestFit="1" customWidth="1"/>
    <col min="1044" max="1044" width="20.85546875" style="20" bestFit="1" customWidth="1"/>
    <col min="1045" max="1045" width="19.85546875" style="20" bestFit="1" customWidth="1"/>
    <col min="1046" max="1046" width="12" style="20" bestFit="1" customWidth="1"/>
    <col min="1047" max="1281" width="9.140625" style="20"/>
    <col min="1282" max="1282" width="5.28515625" style="20" customWidth="1"/>
    <col min="1283" max="1284" width="9.5703125" style="20" customWidth="1"/>
    <col min="1285" max="1285" width="7.85546875" style="20" customWidth="1"/>
    <col min="1286" max="1286" width="22.140625" style="20" customWidth="1"/>
    <col min="1287" max="1287" width="8.7109375" style="20" customWidth="1"/>
    <col min="1288" max="1288" width="8.140625" style="20" customWidth="1"/>
    <col min="1289" max="1289" width="13" style="20" customWidth="1"/>
    <col min="1290" max="1290" width="13.5703125" style="20" customWidth="1"/>
    <col min="1291" max="1292" width="13.28515625" style="20" customWidth="1"/>
    <col min="1293" max="1293" width="6.7109375" style="20" customWidth="1"/>
    <col min="1294" max="1294" width="8.140625" style="20" customWidth="1"/>
    <col min="1295" max="1295" width="7.28515625" style="20" customWidth="1"/>
    <col min="1296" max="1296" width="15" style="20" customWidth="1"/>
    <col min="1297" max="1297" width="3.85546875" style="20" customWidth="1"/>
    <col min="1298" max="1298" width="10.85546875" style="20" bestFit="1" customWidth="1"/>
    <col min="1299" max="1299" width="10.5703125" style="20" bestFit="1" customWidth="1"/>
    <col min="1300" max="1300" width="20.85546875" style="20" bestFit="1" customWidth="1"/>
    <col min="1301" max="1301" width="19.85546875" style="20" bestFit="1" customWidth="1"/>
    <col min="1302" max="1302" width="12" style="20" bestFit="1" customWidth="1"/>
    <col min="1303" max="1537" width="9.140625" style="20"/>
    <col min="1538" max="1538" width="5.28515625" style="20" customWidth="1"/>
    <col min="1539" max="1540" width="9.5703125" style="20" customWidth="1"/>
    <col min="1541" max="1541" width="7.85546875" style="20" customWidth="1"/>
    <col min="1542" max="1542" width="22.140625" style="20" customWidth="1"/>
    <col min="1543" max="1543" width="8.7109375" style="20" customWidth="1"/>
    <col min="1544" max="1544" width="8.140625" style="20" customWidth="1"/>
    <col min="1545" max="1545" width="13" style="20" customWidth="1"/>
    <col min="1546" max="1546" width="13.5703125" style="20" customWidth="1"/>
    <col min="1547" max="1548" width="13.28515625" style="20" customWidth="1"/>
    <col min="1549" max="1549" width="6.7109375" style="20" customWidth="1"/>
    <col min="1550" max="1550" width="8.140625" style="20" customWidth="1"/>
    <col min="1551" max="1551" width="7.28515625" style="20" customWidth="1"/>
    <col min="1552" max="1552" width="15" style="20" customWidth="1"/>
    <col min="1553" max="1553" width="3.85546875" style="20" customWidth="1"/>
    <col min="1554" max="1554" width="10.85546875" style="20" bestFit="1" customWidth="1"/>
    <col min="1555" max="1555" width="10.5703125" style="20" bestFit="1" customWidth="1"/>
    <col min="1556" max="1556" width="20.85546875" style="20" bestFit="1" customWidth="1"/>
    <col min="1557" max="1557" width="19.85546875" style="20" bestFit="1" customWidth="1"/>
    <col min="1558" max="1558" width="12" style="20" bestFit="1" customWidth="1"/>
    <col min="1559" max="1793" width="9.140625" style="20"/>
    <col min="1794" max="1794" width="5.28515625" style="20" customWidth="1"/>
    <col min="1795" max="1796" width="9.5703125" style="20" customWidth="1"/>
    <col min="1797" max="1797" width="7.85546875" style="20" customWidth="1"/>
    <col min="1798" max="1798" width="22.140625" style="20" customWidth="1"/>
    <col min="1799" max="1799" width="8.7109375" style="20" customWidth="1"/>
    <col min="1800" max="1800" width="8.140625" style="20" customWidth="1"/>
    <col min="1801" max="1801" width="13" style="20" customWidth="1"/>
    <col min="1802" max="1802" width="13.5703125" style="20" customWidth="1"/>
    <col min="1803" max="1804" width="13.28515625" style="20" customWidth="1"/>
    <col min="1805" max="1805" width="6.7109375" style="20" customWidth="1"/>
    <col min="1806" max="1806" width="8.140625" style="20" customWidth="1"/>
    <col min="1807" max="1807" width="7.28515625" style="20" customWidth="1"/>
    <col min="1808" max="1808" width="15" style="20" customWidth="1"/>
    <col min="1809" max="1809" width="3.85546875" style="20" customWidth="1"/>
    <col min="1810" max="1810" width="10.85546875" style="20" bestFit="1" customWidth="1"/>
    <col min="1811" max="1811" width="10.5703125" style="20" bestFit="1" customWidth="1"/>
    <col min="1812" max="1812" width="20.85546875" style="20" bestFit="1" customWidth="1"/>
    <col min="1813" max="1813" width="19.85546875" style="20" bestFit="1" customWidth="1"/>
    <col min="1814" max="1814" width="12" style="20" bestFit="1" customWidth="1"/>
    <col min="1815" max="2049" width="9.140625" style="20"/>
    <col min="2050" max="2050" width="5.28515625" style="20" customWidth="1"/>
    <col min="2051" max="2052" width="9.5703125" style="20" customWidth="1"/>
    <col min="2053" max="2053" width="7.85546875" style="20" customWidth="1"/>
    <col min="2054" max="2054" width="22.140625" style="20" customWidth="1"/>
    <col min="2055" max="2055" width="8.7109375" style="20" customWidth="1"/>
    <col min="2056" max="2056" width="8.140625" style="20" customWidth="1"/>
    <col min="2057" max="2057" width="13" style="20" customWidth="1"/>
    <col min="2058" max="2058" width="13.5703125" style="20" customWidth="1"/>
    <col min="2059" max="2060" width="13.28515625" style="20" customWidth="1"/>
    <col min="2061" max="2061" width="6.7109375" style="20" customWidth="1"/>
    <col min="2062" max="2062" width="8.140625" style="20" customWidth="1"/>
    <col min="2063" max="2063" width="7.28515625" style="20" customWidth="1"/>
    <col min="2064" max="2064" width="15" style="20" customWidth="1"/>
    <col min="2065" max="2065" width="3.85546875" style="20" customWidth="1"/>
    <col min="2066" max="2066" width="10.85546875" style="20" bestFit="1" customWidth="1"/>
    <col min="2067" max="2067" width="10.5703125" style="20" bestFit="1" customWidth="1"/>
    <col min="2068" max="2068" width="20.85546875" style="20" bestFit="1" customWidth="1"/>
    <col min="2069" max="2069" width="19.85546875" style="20" bestFit="1" customWidth="1"/>
    <col min="2070" max="2070" width="12" style="20" bestFit="1" customWidth="1"/>
    <col min="2071" max="2305" width="9.140625" style="20"/>
    <col min="2306" max="2306" width="5.28515625" style="20" customWidth="1"/>
    <col min="2307" max="2308" width="9.5703125" style="20" customWidth="1"/>
    <col min="2309" max="2309" width="7.85546875" style="20" customWidth="1"/>
    <col min="2310" max="2310" width="22.140625" style="20" customWidth="1"/>
    <col min="2311" max="2311" width="8.7109375" style="20" customWidth="1"/>
    <col min="2312" max="2312" width="8.140625" style="20" customWidth="1"/>
    <col min="2313" max="2313" width="13" style="20" customWidth="1"/>
    <col min="2314" max="2314" width="13.5703125" style="20" customWidth="1"/>
    <col min="2315" max="2316" width="13.28515625" style="20" customWidth="1"/>
    <col min="2317" max="2317" width="6.7109375" style="20" customWidth="1"/>
    <col min="2318" max="2318" width="8.140625" style="20" customWidth="1"/>
    <col min="2319" max="2319" width="7.28515625" style="20" customWidth="1"/>
    <col min="2320" max="2320" width="15" style="20" customWidth="1"/>
    <col min="2321" max="2321" width="3.85546875" style="20" customWidth="1"/>
    <col min="2322" max="2322" width="10.85546875" style="20" bestFit="1" customWidth="1"/>
    <col min="2323" max="2323" width="10.5703125" style="20" bestFit="1" customWidth="1"/>
    <col min="2324" max="2324" width="20.85546875" style="20" bestFit="1" customWidth="1"/>
    <col min="2325" max="2325" width="19.85546875" style="20" bestFit="1" customWidth="1"/>
    <col min="2326" max="2326" width="12" style="20" bestFit="1" customWidth="1"/>
    <col min="2327" max="2561" width="9.140625" style="20"/>
    <col min="2562" max="2562" width="5.28515625" style="20" customWidth="1"/>
    <col min="2563" max="2564" width="9.5703125" style="20" customWidth="1"/>
    <col min="2565" max="2565" width="7.85546875" style="20" customWidth="1"/>
    <col min="2566" max="2566" width="22.140625" style="20" customWidth="1"/>
    <col min="2567" max="2567" width="8.7109375" style="20" customWidth="1"/>
    <col min="2568" max="2568" width="8.140625" style="20" customWidth="1"/>
    <col min="2569" max="2569" width="13" style="20" customWidth="1"/>
    <col min="2570" max="2570" width="13.5703125" style="20" customWidth="1"/>
    <col min="2571" max="2572" width="13.28515625" style="20" customWidth="1"/>
    <col min="2573" max="2573" width="6.7109375" style="20" customWidth="1"/>
    <col min="2574" max="2574" width="8.140625" style="20" customWidth="1"/>
    <col min="2575" max="2575" width="7.28515625" style="20" customWidth="1"/>
    <col min="2576" max="2576" width="15" style="20" customWidth="1"/>
    <col min="2577" max="2577" width="3.85546875" style="20" customWidth="1"/>
    <col min="2578" max="2578" width="10.85546875" style="20" bestFit="1" customWidth="1"/>
    <col min="2579" max="2579" width="10.5703125" style="20" bestFit="1" customWidth="1"/>
    <col min="2580" max="2580" width="20.85546875" style="20" bestFit="1" customWidth="1"/>
    <col min="2581" max="2581" width="19.85546875" style="20" bestFit="1" customWidth="1"/>
    <col min="2582" max="2582" width="12" style="20" bestFit="1" customWidth="1"/>
    <col min="2583" max="2817" width="9.140625" style="20"/>
    <col min="2818" max="2818" width="5.28515625" style="20" customWidth="1"/>
    <col min="2819" max="2820" width="9.5703125" style="20" customWidth="1"/>
    <col min="2821" max="2821" width="7.85546875" style="20" customWidth="1"/>
    <col min="2822" max="2822" width="22.140625" style="20" customWidth="1"/>
    <col min="2823" max="2823" width="8.7109375" style="20" customWidth="1"/>
    <col min="2824" max="2824" width="8.140625" style="20" customWidth="1"/>
    <col min="2825" max="2825" width="13" style="20" customWidth="1"/>
    <col min="2826" max="2826" width="13.5703125" style="20" customWidth="1"/>
    <col min="2827" max="2828" width="13.28515625" style="20" customWidth="1"/>
    <col min="2829" max="2829" width="6.7109375" style="20" customWidth="1"/>
    <col min="2830" max="2830" width="8.140625" style="20" customWidth="1"/>
    <col min="2831" max="2831" width="7.28515625" style="20" customWidth="1"/>
    <col min="2832" max="2832" width="15" style="20" customWidth="1"/>
    <col min="2833" max="2833" width="3.85546875" style="20" customWidth="1"/>
    <col min="2834" max="2834" width="10.85546875" style="20" bestFit="1" customWidth="1"/>
    <col min="2835" max="2835" width="10.5703125" style="20" bestFit="1" customWidth="1"/>
    <col min="2836" max="2836" width="20.85546875" style="20" bestFit="1" customWidth="1"/>
    <col min="2837" max="2837" width="19.85546875" style="20" bestFit="1" customWidth="1"/>
    <col min="2838" max="2838" width="12" style="20" bestFit="1" customWidth="1"/>
    <col min="2839" max="3073" width="9.140625" style="20"/>
    <col min="3074" max="3074" width="5.28515625" style="20" customWidth="1"/>
    <col min="3075" max="3076" width="9.5703125" style="20" customWidth="1"/>
    <col min="3077" max="3077" width="7.85546875" style="20" customWidth="1"/>
    <col min="3078" max="3078" width="22.140625" style="20" customWidth="1"/>
    <col min="3079" max="3079" width="8.7109375" style="20" customWidth="1"/>
    <col min="3080" max="3080" width="8.140625" style="20" customWidth="1"/>
    <col min="3081" max="3081" width="13" style="20" customWidth="1"/>
    <col min="3082" max="3082" width="13.5703125" style="20" customWidth="1"/>
    <col min="3083" max="3084" width="13.28515625" style="20" customWidth="1"/>
    <col min="3085" max="3085" width="6.7109375" style="20" customWidth="1"/>
    <col min="3086" max="3086" width="8.140625" style="20" customWidth="1"/>
    <col min="3087" max="3087" width="7.28515625" style="20" customWidth="1"/>
    <col min="3088" max="3088" width="15" style="20" customWidth="1"/>
    <col min="3089" max="3089" width="3.85546875" style="20" customWidth="1"/>
    <col min="3090" max="3090" width="10.85546875" style="20" bestFit="1" customWidth="1"/>
    <col min="3091" max="3091" width="10.5703125" style="20" bestFit="1" customWidth="1"/>
    <col min="3092" max="3092" width="20.85546875" style="20" bestFit="1" customWidth="1"/>
    <col min="3093" max="3093" width="19.85546875" style="20" bestFit="1" customWidth="1"/>
    <col min="3094" max="3094" width="12" style="20" bestFit="1" customWidth="1"/>
    <col min="3095" max="3329" width="9.140625" style="20"/>
    <col min="3330" max="3330" width="5.28515625" style="20" customWidth="1"/>
    <col min="3331" max="3332" width="9.5703125" style="20" customWidth="1"/>
    <col min="3333" max="3333" width="7.85546875" style="20" customWidth="1"/>
    <col min="3334" max="3334" width="22.140625" style="20" customWidth="1"/>
    <col min="3335" max="3335" width="8.7109375" style="20" customWidth="1"/>
    <col min="3336" max="3336" width="8.140625" style="20" customWidth="1"/>
    <col min="3337" max="3337" width="13" style="20" customWidth="1"/>
    <col min="3338" max="3338" width="13.5703125" style="20" customWidth="1"/>
    <col min="3339" max="3340" width="13.28515625" style="20" customWidth="1"/>
    <col min="3341" max="3341" width="6.7109375" style="20" customWidth="1"/>
    <col min="3342" max="3342" width="8.140625" style="20" customWidth="1"/>
    <col min="3343" max="3343" width="7.28515625" style="20" customWidth="1"/>
    <col min="3344" max="3344" width="15" style="20" customWidth="1"/>
    <col min="3345" max="3345" width="3.85546875" style="20" customWidth="1"/>
    <col min="3346" max="3346" width="10.85546875" style="20" bestFit="1" customWidth="1"/>
    <col min="3347" max="3347" width="10.5703125" style="20" bestFit="1" customWidth="1"/>
    <col min="3348" max="3348" width="20.85546875" style="20" bestFit="1" customWidth="1"/>
    <col min="3349" max="3349" width="19.85546875" style="20" bestFit="1" customWidth="1"/>
    <col min="3350" max="3350" width="12" style="20" bestFit="1" customWidth="1"/>
    <col min="3351" max="3585" width="9.140625" style="20"/>
    <col min="3586" max="3586" width="5.28515625" style="20" customWidth="1"/>
    <col min="3587" max="3588" width="9.5703125" style="20" customWidth="1"/>
    <col min="3589" max="3589" width="7.85546875" style="20" customWidth="1"/>
    <col min="3590" max="3590" width="22.140625" style="20" customWidth="1"/>
    <col min="3591" max="3591" width="8.7109375" style="20" customWidth="1"/>
    <col min="3592" max="3592" width="8.140625" style="20" customWidth="1"/>
    <col min="3593" max="3593" width="13" style="20" customWidth="1"/>
    <col min="3594" max="3594" width="13.5703125" style="20" customWidth="1"/>
    <col min="3595" max="3596" width="13.28515625" style="20" customWidth="1"/>
    <col min="3597" max="3597" width="6.7109375" style="20" customWidth="1"/>
    <col min="3598" max="3598" width="8.140625" style="20" customWidth="1"/>
    <col min="3599" max="3599" width="7.28515625" style="20" customWidth="1"/>
    <col min="3600" max="3600" width="15" style="20" customWidth="1"/>
    <col min="3601" max="3601" width="3.85546875" style="20" customWidth="1"/>
    <col min="3602" max="3602" width="10.85546875" style="20" bestFit="1" customWidth="1"/>
    <col min="3603" max="3603" width="10.5703125" style="20" bestFit="1" customWidth="1"/>
    <col min="3604" max="3604" width="20.85546875" style="20" bestFit="1" customWidth="1"/>
    <col min="3605" max="3605" width="19.85546875" style="20" bestFit="1" customWidth="1"/>
    <col min="3606" max="3606" width="12" style="20" bestFit="1" customWidth="1"/>
    <col min="3607" max="3841" width="9.140625" style="20"/>
    <col min="3842" max="3842" width="5.28515625" style="20" customWidth="1"/>
    <col min="3843" max="3844" width="9.5703125" style="20" customWidth="1"/>
    <col min="3845" max="3845" width="7.85546875" style="20" customWidth="1"/>
    <col min="3846" max="3846" width="22.140625" style="20" customWidth="1"/>
    <col min="3847" max="3847" width="8.7109375" style="20" customWidth="1"/>
    <col min="3848" max="3848" width="8.140625" style="20" customWidth="1"/>
    <col min="3849" max="3849" width="13" style="20" customWidth="1"/>
    <col min="3850" max="3850" width="13.5703125" style="20" customWidth="1"/>
    <col min="3851" max="3852" width="13.28515625" style="20" customWidth="1"/>
    <col min="3853" max="3853" width="6.7109375" style="20" customWidth="1"/>
    <col min="3854" max="3854" width="8.140625" style="20" customWidth="1"/>
    <col min="3855" max="3855" width="7.28515625" style="20" customWidth="1"/>
    <col min="3856" max="3856" width="15" style="20" customWidth="1"/>
    <col min="3857" max="3857" width="3.85546875" style="20" customWidth="1"/>
    <col min="3858" max="3858" width="10.85546875" style="20" bestFit="1" customWidth="1"/>
    <col min="3859" max="3859" width="10.5703125" style="20" bestFit="1" customWidth="1"/>
    <col min="3860" max="3860" width="20.85546875" style="20" bestFit="1" customWidth="1"/>
    <col min="3861" max="3861" width="19.85546875" style="20" bestFit="1" customWidth="1"/>
    <col min="3862" max="3862" width="12" style="20" bestFit="1" customWidth="1"/>
    <col min="3863" max="4097" width="9.140625" style="20"/>
    <col min="4098" max="4098" width="5.28515625" style="20" customWidth="1"/>
    <col min="4099" max="4100" width="9.5703125" style="20" customWidth="1"/>
    <col min="4101" max="4101" width="7.85546875" style="20" customWidth="1"/>
    <col min="4102" max="4102" width="22.140625" style="20" customWidth="1"/>
    <col min="4103" max="4103" width="8.7109375" style="20" customWidth="1"/>
    <col min="4104" max="4104" width="8.140625" style="20" customWidth="1"/>
    <col min="4105" max="4105" width="13" style="20" customWidth="1"/>
    <col min="4106" max="4106" width="13.5703125" style="20" customWidth="1"/>
    <col min="4107" max="4108" width="13.28515625" style="20" customWidth="1"/>
    <col min="4109" max="4109" width="6.7109375" style="20" customWidth="1"/>
    <col min="4110" max="4110" width="8.140625" style="20" customWidth="1"/>
    <col min="4111" max="4111" width="7.28515625" style="20" customWidth="1"/>
    <col min="4112" max="4112" width="15" style="20" customWidth="1"/>
    <col min="4113" max="4113" width="3.85546875" style="20" customWidth="1"/>
    <col min="4114" max="4114" width="10.85546875" style="20" bestFit="1" customWidth="1"/>
    <col min="4115" max="4115" width="10.5703125" style="20" bestFit="1" customWidth="1"/>
    <col min="4116" max="4116" width="20.85546875" style="20" bestFit="1" customWidth="1"/>
    <col min="4117" max="4117" width="19.85546875" style="20" bestFit="1" customWidth="1"/>
    <col min="4118" max="4118" width="12" style="20" bestFit="1" customWidth="1"/>
    <col min="4119" max="4353" width="9.140625" style="20"/>
    <col min="4354" max="4354" width="5.28515625" style="20" customWidth="1"/>
    <col min="4355" max="4356" width="9.5703125" style="20" customWidth="1"/>
    <col min="4357" max="4357" width="7.85546875" style="20" customWidth="1"/>
    <col min="4358" max="4358" width="22.140625" style="20" customWidth="1"/>
    <col min="4359" max="4359" width="8.7109375" style="20" customWidth="1"/>
    <col min="4360" max="4360" width="8.140625" style="20" customWidth="1"/>
    <col min="4361" max="4361" width="13" style="20" customWidth="1"/>
    <col min="4362" max="4362" width="13.5703125" style="20" customWidth="1"/>
    <col min="4363" max="4364" width="13.28515625" style="20" customWidth="1"/>
    <col min="4365" max="4365" width="6.7109375" style="20" customWidth="1"/>
    <col min="4366" max="4366" width="8.140625" style="20" customWidth="1"/>
    <col min="4367" max="4367" width="7.28515625" style="20" customWidth="1"/>
    <col min="4368" max="4368" width="15" style="20" customWidth="1"/>
    <col min="4369" max="4369" width="3.85546875" style="20" customWidth="1"/>
    <col min="4370" max="4370" width="10.85546875" style="20" bestFit="1" customWidth="1"/>
    <col min="4371" max="4371" width="10.5703125" style="20" bestFit="1" customWidth="1"/>
    <col min="4372" max="4372" width="20.85546875" style="20" bestFit="1" customWidth="1"/>
    <col min="4373" max="4373" width="19.85546875" style="20" bestFit="1" customWidth="1"/>
    <col min="4374" max="4374" width="12" style="20" bestFit="1" customWidth="1"/>
    <col min="4375" max="4609" width="9.140625" style="20"/>
    <col min="4610" max="4610" width="5.28515625" style="20" customWidth="1"/>
    <col min="4611" max="4612" width="9.5703125" style="20" customWidth="1"/>
    <col min="4613" max="4613" width="7.85546875" style="20" customWidth="1"/>
    <col min="4614" max="4614" width="22.140625" style="20" customWidth="1"/>
    <col min="4615" max="4615" width="8.7109375" style="20" customWidth="1"/>
    <col min="4616" max="4616" width="8.140625" style="20" customWidth="1"/>
    <col min="4617" max="4617" width="13" style="20" customWidth="1"/>
    <col min="4618" max="4618" width="13.5703125" style="20" customWidth="1"/>
    <col min="4619" max="4620" width="13.28515625" style="20" customWidth="1"/>
    <col min="4621" max="4621" width="6.7109375" style="20" customWidth="1"/>
    <col min="4622" max="4622" width="8.140625" style="20" customWidth="1"/>
    <col min="4623" max="4623" width="7.28515625" style="20" customWidth="1"/>
    <col min="4624" max="4624" width="15" style="20" customWidth="1"/>
    <col min="4625" max="4625" width="3.85546875" style="20" customWidth="1"/>
    <col min="4626" max="4626" width="10.85546875" style="20" bestFit="1" customWidth="1"/>
    <col min="4627" max="4627" width="10.5703125" style="20" bestFit="1" customWidth="1"/>
    <col min="4628" max="4628" width="20.85546875" style="20" bestFit="1" customWidth="1"/>
    <col min="4629" max="4629" width="19.85546875" style="20" bestFit="1" customWidth="1"/>
    <col min="4630" max="4630" width="12" style="20" bestFit="1" customWidth="1"/>
    <col min="4631" max="4865" width="9.140625" style="20"/>
    <col min="4866" max="4866" width="5.28515625" style="20" customWidth="1"/>
    <col min="4867" max="4868" width="9.5703125" style="20" customWidth="1"/>
    <col min="4869" max="4869" width="7.85546875" style="20" customWidth="1"/>
    <col min="4870" max="4870" width="22.140625" style="20" customWidth="1"/>
    <col min="4871" max="4871" width="8.7109375" style="20" customWidth="1"/>
    <col min="4872" max="4872" width="8.140625" style="20" customWidth="1"/>
    <col min="4873" max="4873" width="13" style="20" customWidth="1"/>
    <col min="4874" max="4874" width="13.5703125" style="20" customWidth="1"/>
    <col min="4875" max="4876" width="13.28515625" style="20" customWidth="1"/>
    <col min="4877" max="4877" width="6.7109375" style="20" customWidth="1"/>
    <col min="4878" max="4878" width="8.140625" style="20" customWidth="1"/>
    <col min="4879" max="4879" width="7.28515625" style="20" customWidth="1"/>
    <col min="4880" max="4880" width="15" style="20" customWidth="1"/>
    <col min="4881" max="4881" width="3.85546875" style="20" customWidth="1"/>
    <col min="4882" max="4882" width="10.85546875" style="20" bestFit="1" customWidth="1"/>
    <col min="4883" max="4883" width="10.5703125" style="20" bestFit="1" customWidth="1"/>
    <col min="4884" max="4884" width="20.85546875" style="20" bestFit="1" customWidth="1"/>
    <col min="4885" max="4885" width="19.85546875" style="20" bestFit="1" customWidth="1"/>
    <col min="4886" max="4886" width="12" style="20" bestFit="1" customWidth="1"/>
    <col min="4887" max="5121" width="9.140625" style="20"/>
    <col min="5122" max="5122" width="5.28515625" style="20" customWidth="1"/>
    <col min="5123" max="5124" width="9.5703125" style="20" customWidth="1"/>
    <col min="5125" max="5125" width="7.85546875" style="20" customWidth="1"/>
    <col min="5126" max="5126" width="22.140625" style="20" customWidth="1"/>
    <col min="5127" max="5127" width="8.7109375" style="20" customWidth="1"/>
    <col min="5128" max="5128" width="8.140625" style="20" customWidth="1"/>
    <col min="5129" max="5129" width="13" style="20" customWidth="1"/>
    <col min="5130" max="5130" width="13.5703125" style="20" customWidth="1"/>
    <col min="5131" max="5132" width="13.28515625" style="20" customWidth="1"/>
    <col min="5133" max="5133" width="6.7109375" style="20" customWidth="1"/>
    <col min="5134" max="5134" width="8.140625" style="20" customWidth="1"/>
    <col min="5135" max="5135" width="7.28515625" style="20" customWidth="1"/>
    <col min="5136" max="5136" width="15" style="20" customWidth="1"/>
    <col min="5137" max="5137" width="3.85546875" style="20" customWidth="1"/>
    <col min="5138" max="5138" width="10.85546875" style="20" bestFit="1" customWidth="1"/>
    <col min="5139" max="5139" width="10.5703125" style="20" bestFit="1" customWidth="1"/>
    <col min="5140" max="5140" width="20.85546875" style="20" bestFit="1" customWidth="1"/>
    <col min="5141" max="5141" width="19.85546875" style="20" bestFit="1" customWidth="1"/>
    <col min="5142" max="5142" width="12" style="20" bestFit="1" customWidth="1"/>
    <col min="5143" max="5377" width="9.140625" style="20"/>
    <col min="5378" max="5378" width="5.28515625" style="20" customWidth="1"/>
    <col min="5379" max="5380" width="9.5703125" style="20" customWidth="1"/>
    <col min="5381" max="5381" width="7.85546875" style="20" customWidth="1"/>
    <col min="5382" max="5382" width="22.140625" style="20" customWidth="1"/>
    <col min="5383" max="5383" width="8.7109375" style="20" customWidth="1"/>
    <col min="5384" max="5384" width="8.140625" style="20" customWidth="1"/>
    <col min="5385" max="5385" width="13" style="20" customWidth="1"/>
    <col min="5386" max="5386" width="13.5703125" style="20" customWidth="1"/>
    <col min="5387" max="5388" width="13.28515625" style="20" customWidth="1"/>
    <col min="5389" max="5389" width="6.7109375" style="20" customWidth="1"/>
    <col min="5390" max="5390" width="8.140625" style="20" customWidth="1"/>
    <col min="5391" max="5391" width="7.28515625" style="20" customWidth="1"/>
    <col min="5392" max="5392" width="15" style="20" customWidth="1"/>
    <col min="5393" max="5393" width="3.85546875" style="20" customWidth="1"/>
    <col min="5394" max="5394" width="10.85546875" style="20" bestFit="1" customWidth="1"/>
    <col min="5395" max="5395" width="10.5703125" style="20" bestFit="1" customWidth="1"/>
    <col min="5396" max="5396" width="20.85546875" style="20" bestFit="1" customWidth="1"/>
    <col min="5397" max="5397" width="19.85546875" style="20" bestFit="1" customWidth="1"/>
    <col min="5398" max="5398" width="12" style="20" bestFit="1" customWidth="1"/>
    <col min="5399" max="5633" width="9.140625" style="20"/>
    <col min="5634" max="5634" width="5.28515625" style="20" customWidth="1"/>
    <col min="5635" max="5636" width="9.5703125" style="20" customWidth="1"/>
    <col min="5637" max="5637" width="7.85546875" style="20" customWidth="1"/>
    <col min="5638" max="5638" width="22.140625" style="20" customWidth="1"/>
    <col min="5639" max="5639" width="8.7109375" style="20" customWidth="1"/>
    <col min="5640" max="5640" width="8.140625" style="20" customWidth="1"/>
    <col min="5641" max="5641" width="13" style="20" customWidth="1"/>
    <col min="5642" max="5642" width="13.5703125" style="20" customWidth="1"/>
    <col min="5643" max="5644" width="13.28515625" style="20" customWidth="1"/>
    <col min="5645" max="5645" width="6.7109375" style="20" customWidth="1"/>
    <col min="5646" max="5646" width="8.140625" style="20" customWidth="1"/>
    <col min="5647" max="5647" width="7.28515625" style="20" customWidth="1"/>
    <col min="5648" max="5648" width="15" style="20" customWidth="1"/>
    <col min="5649" max="5649" width="3.85546875" style="20" customWidth="1"/>
    <col min="5650" max="5650" width="10.85546875" style="20" bestFit="1" customWidth="1"/>
    <col min="5651" max="5651" width="10.5703125" style="20" bestFit="1" customWidth="1"/>
    <col min="5652" max="5652" width="20.85546875" style="20" bestFit="1" customWidth="1"/>
    <col min="5653" max="5653" width="19.85546875" style="20" bestFit="1" customWidth="1"/>
    <col min="5654" max="5654" width="12" style="20" bestFit="1" customWidth="1"/>
    <col min="5655" max="5889" width="9.140625" style="20"/>
    <col min="5890" max="5890" width="5.28515625" style="20" customWidth="1"/>
    <col min="5891" max="5892" width="9.5703125" style="20" customWidth="1"/>
    <col min="5893" max="5893" width="7.85546875" style="20" customWidth="1"/>
    <col min="5894" max="5894" width="22.140625" style="20" customWidth="1"/>
    <col min="5895" max="5895" width="8.7109375" style="20" customWidth="1"/>
    <col min="5896" max="5896" width="8.140625" style="20" customWidth="1"/>
    <col min="5897" max="5897" width="13" style="20" customWidth="1"/>
    <col min="5898" max="5898" width="13.5703125" style="20" customWidth="1"/>
    <col min="5899" max="5900" width="13.28515625" style="20" customWidth="1"/>
    <col min="5901" max="5901" width="6.7109375" style="20" customWidth="1"/>
    <col min="5902" max="5902" width="8.140625" style="20" customWidth="1"/>
    <col min="5903" max="5903" width="7.28515625" style="20" customWidth="1"/>
    <col min="5904" max="5904" width="15" style="20" customWidth="1"/>
    <col min="5905" max="5905" width="3.85546875" style="20" customWidth="1"/>
    <col min="5906" max="5906" width="10.85546875" style="20" bestFit="1" customWidth="1"/>
    <col min="5907" max="5907" width="10.5703125" style="20" bestFit="1" customWidth="1"/>
    <col min="5908" max="5908" width="20.85546875" style="20" bestFit="1" customWidth="1"/>
    <col min="5909" max="5909" width="19.85546875" style="20" bestFit="1" customWidth="1"/>
    <col min="5910" max="5910" width="12" style="20" bestFit="1" customWidth="1"/>
    <col min="5911" max="6145" width="9.140625" style="20"/>
    <col min="6146" max="6146" width="5.28515625" style="20" customWidth="1"/>
    <col min="6147" max="6148" width="9.5703125" style="20" customWidth="1"/>
    <col min="6149" max="6149" width="7.85546875" style="20" customWidth="1"/>
    <col min="6150" max="6150" width="22.140625" style="20" customWidth="1"/>
    <col min="6151" max="6151" width="8.7109375" style="20" customWidth="1"/>
    <col min="6152" max="6152" width="8.140625" style="20" customWidth="1"/>
    <col min="6153" max="6153" width="13" style="20" customWidth="1"/>
    <col min="6154" max="6154" width="13.5703125" style="20" customWidth="1"/>
    <col min="6155" max="6156" width="13.28515625" style="20" customWidth="1"/>
    <col min="6157" max="6157" width="6.7109375" style="20" customWidth="1"/>
    <col min="6158" max="6158" width="8.140625" style="20" customWidth="1"/>
    <col min="6159" max="6159" width="7.28515625" style="20" customWidth="1"/>
    <col min="6160" max="6160" width="15" style="20" customWidth="1"/>
    <col min="6161" max="6161" width="3.85546875" style="20" customWidth="1"/>
    <col min="6162" max="6162" width="10.85546875" style="20" bestFit="1" customWidth="1"/>
    <col min="6163" max="6163" width="10.5703125" style="20" bestFit="1" customWidth="1"/>
    <col min="6164" max="6164" width="20.85546875" style="20" bestFit="1" customWidth="1"/>
    <col min="6165" max="6165" width="19.85546875" style="20" bestFit="1" customWidth="1"/>
    <col min="6166" max="6166" width="12" style="20" bestFit="1" customWidth="1"/>
    <col min="6167" max="6401" width="9.140625" style="20"/>
    <col min="6402" max="6402" width="5.28515625" style="20" customWidth="1"/>
    <col min="6403" max="6404" width="9.5703125" style="20" customWidth="1"/>
    <col min="6405" max="6405" width="7.85546875" style="20" customWidth="1"/>
    <col min="6406" max="6406" width="22.140625" style="20" customWidth="1"/>
    <col min="6407" max="6407" width="8.7109375" style="20" customWidth="1"/>
    <col min="6408" max="6408" width="8.140625" style="20" customWidth="1"/>
    <col min="6409" max="6409" width="13" style="20" customWidth="1"/>
    <col min="6410" max="6410" width="13.5703125" style="20" customWidth="1"/>
    <col min="6411" max="6412" width="13.28515625" style="20" customWidth="1"/>
    <col min="6413" max="6413" width="6.7109375" style="20" customWidth="1"/>
    <col min="6414" max="6414" width="8.140625" style="20" customWidth="1"/>
    <col min="6415" max="6415" width="7.28515625" style="20" customWidth="1"/>
    <col min="6416" max="6416" width="15" style="20" customWidth="1"/>
    <col min="6417" max="6417" width="3.85546875" style="20" customWidth="1"/>
    <col min="6418" max="6418" width="10.85546875" style="20" bestFit="1" customWidth="1"/>
    <col min="6419" max="6419" width="10.5703125" style="20" bestFit="1" customWidth="1"/>
    <col min="6420" max="6420" width="20.85546875" style="20" bestFit="1" customWidth="1"/>
    <col min="6421" max="6421" width="19.85546875" style="20" bestFit="1" customWidth="1"/>
    <col min="6422" max="6422" width="12" style="20" bestFit="1" customWidth="1"/>
    <col min="6423" max="6657" width="9.140625" style="20"/>
    <col min="6658" max="6658" width="5.28515625" style="20" customWidth="1"/>
    <col min="6659" max="6660" width="9.5703125" style="20" customWidth="1"/>
    <col min="6661" max="6661" width="7.85546875" style="20" customWidth="1"/>
    <col min="6662" max="6662" width="22.140625" style="20" customWidth="1"/>
    <col min="6663" max="6663" width="8.7109375" style="20" customWidth="1"/>
    <col min="6664" max="6664" width="8.140625" style="20" customWidth="1"/>
    <col min="6665" max="6665" width="13" style="20" customWidth="1"/>
    <col min="6666" max="6666" width="13.5703125" style="20" customWidth="1"/>
    <col min="6667" max="6668" width="13.28515625" style="20" customWidth="1"/>
    <col min="6669" max="6669" width="6.7109375" style="20" customWidth="1"/>
    <col min="6670" max="6670" width="8.140625" style="20" customWidth="1"/>
    <col min="6671" max="6671" width="7.28515625" style="20" customWidth="1"/>
    <col min="6672" max="6672" width="15" style="20" customWidth="1"/>
    <col min="6673" max="6673" width="3.85546875" style="20" customWidth="1"/>
    <col min="6674" max="6674" width="10.85546875" style="20" bestFit="1" customWidth="1"/>
    <col min="6675" max="6675" width="10.5703125" style="20" bestFit="1" customWidth="1"/>
    <col min="6676" max="6676" width="20.85546875" style="20" bestFit="1" customWidth="1"/>
    <col min="6677" max="6677" width="19.85546875" style="20" bestFit="1" customWidth="1"/>
    <col min="6678" max="6678" width="12" style="20" bestFit="1" customWidth="1"/>
    <col min="6679" max="6913" width="9.140625" style="20"/>
    <col min="6914" max="6914" width="5.28515625" style="20" customWidth="1"/>
    <col min="6915" max="6916" width="9.5703125" style="20" customWidth="1"/>
    <col min="6917" max="6917" width="7.85546875" style="20" customWidth="1"/>
    <col min="6918" max="6918" width="22.140625" style="20" customWidth="1"/>
    <col min="6919" max="6919" width="8.7109375" style="20" customWidth="1"/>
    <col min="6920" max="6920" width="8.140625" style="20" customWidth="1"/>
    <col min="6921" max="6921" width="13" style="20" customWidth="1"/>
    <col min="6922" max="6922" width="13.5703125" style="20" customWidth="1"/>
    <col min="6923" max="6924" width="13.28515625" style="20" customWidth="1"/>
    <col min="6925" max="6925" width="6.7109375" style="20" customWidth="1"/>
    <col min="6926" max="6926" width="8.140625" style="20" customWidth="1"/>
    <col min="6927" max="6927" width="7.28515625" style="20" customWidth="1"/>
    <col min="6928" max="6928" width="15" style="20" customWidth="1"/>
    <col min="6929" max="6929" width="3.85546875" style="20" customWidth="1"/>
    <col min="6930" max="6930" width="10.85546875" style="20" bestFit="1" customWidth="1"/>
    <col min="6931" max="6931" width="10.5703125" style="20" bestFit="1" customWidth="1"/>
    <col min="6932" max="6932" width="20.85546875" style="20" bestFit="1" customWidth="1"/>
    <col min="6933" max="6933" width="19.85546875" style="20" bestFit="1" customWidth="1"/>
    <col min="6934" max="6934" width="12" style="20" bestFit="1" customWidth="1"/>
    <col min="6935" max="7169" width="9.140625" style="20"/>
    <col min="7170" max="7170" width="5.28515625" style="20" customWidth="1"/>
    <col min="7171" max="7172" width="9.5703125" style="20" customWidth="1"/>
    <col min="7173" max="7173" width="7.85546875" style="20" customWidth="1"/>
    <col min="7174" max="7174" width="22.140625" style="20" customWidth="1"/>
    <col min="7175" max="7175" width="8.7109375" style="20" customWidth="1"/>
    <col min="7176" max="7176" width="8.140625" style="20" customWidth="1"/>
    <col min="7177" max="7177" width="13" style="20" customWidth="1"/>
    <col min="7178" max="7178" width="13.5703125" style="20" customWidth="1"/>
    <col min="7179" max="7180" width="13.28515625" style="20" customWidth="1"/>
    <col min="7181" max="7181" width="6.7109375" style="20" customWidth="1"/>
    <col min="7182" max="7182" width="8.140625" style="20" customWidth="1"/>
    <col min="7183" max="7183" width="7.28515625" style="20" customWidth="1"/>
    <col min="7184" max="7184" width="15" style="20" customWidth="1"/>
    <col min="7185" max="7185" width="3.85546875" style="20" customWidth="1"/>
    <col min="7186" max="7186" width="10.85546875" style="20" bestFit="1" customWidth="1"/>
    <col min="7187" max="7187" width="10.5703125" style="20" bestFit="1" customWidth="1"/>
    <col min="7188" max="7188" width="20.85546875" style="20" bestFit="1" customWidth="1"/>
    <col min="7189" max="7189" width="19.85546875" style="20" bestFit="1" customWidth="1"/>
    <col min="7190" max="7190" width="12" style="20" bestFit="1" customWidth="1"/>
    <col min="7191" max="7425" width="9.140625" style="20"/>
    <col min="7426" max="7426" width="5.28515625" style="20" customWidth="1"/>
    <col min="7427" max="7428" width="9.5703125" style="20" customWidth="1"/>
    <col min="7429" max="7429" width="7.85546875" style="20" customWidth="1"/>
    <col min="7430" max="7430" width="22.140625" style="20" customWidth="1"/>
    <col min="7431" max="7431" width="8.7109375" style="20" customWidth="1"/>
    <col min="7432" max="7432" width="8.140625" style="20" customWidth="1"/>
    <col min="7433" max="7433" width="13" style="20" customWidth="1"/>
    <col min="7434" max="7434" width="13.5703125" style="20" customWidth="1"/>
    <col min="7435" max="7436" width="13.28515625" style="20" customWidth="1"/>
    <col min="7437" max="7437" width="6.7109375" style="20" customWidth="1"/>
    <col min="7438" max="7438" width="8.140625" style="20" customWidth="1"/>
    <col min="7439" max="7439" width="7.28515625" style="20" customWidth="1"/>
    <col min="7440" max="7440" width="15" style="20" customWidth="1"/>
    <col min="7441" max="7441" width="3.85546875" style="20" customWidth="1"/>
    <col min="7442" max="7442" width="10.85546875" style="20" bestFit="1" customWidth="1"/>
    <col min="7443" max="7443" width="10.5703125" style="20" bestFit="1" customWidth="1"/>
    <col min="7444" max="7444" width="20.85546875" style="20" bestFit="1" customWidth="1"/>
    <col min="7445" max="7445" width="19.85546875" style="20" bestFit="1" customWidth="1"/>
    <col min="7446" max="7446" width="12" style="20" bestFit="1" customWidth="1"/>
    <col min="7447" max="7681" width="9.140625" style="20"/>
    <col min="7682" max="7682" width="5.28515625" style="20" customWidth="1"/>
    <col min="7683" max="7684" width="9.5703125" style="20" customWidth="1"/>
    <col min="7685" max="7685" width="7.85546875" style="20" customWidth="1"/>
    <col min="7686" max="7686" width="22.140625" style="20" customWidth="1"/>
    <col min="7687" max="7687" width="8.7109375" style="20" customWidth="1"/>
    <col min="7688" max="7688" width="8.140625" style="20" customWidth="1"/>
    <col min="7689" max="7689" width="13" style="20" customWidth="1"/>
    <col min="7690" max="7690" width="13.5703125" style="20" customWidth="1"/>
    <col min="7691" max="7692" width="13.28515625" style="20" customWidth="1"/>
    <col min="7693" max="7693" width="6.7109375" style="20" customWidth="1"/>
    <col min="7694" max="7694" width="8.140625" style="20" customWidth="1"/>
    <col min="7695" max="7695" width="7.28515625" style="20" customWidth="1"/>
    <col min="7696" max="7696" width="15" style="20" customWidth="1"/>
    <col min="7697" max="7697" width="3.85546875" style="20" customWidth="1"/>
    <col min="7698" max="7698" width="10.85546875" style="20" bestFit="1" customWidth="1"/>
    <col min="7699" max="7699" width="10.5703125" style="20" bestFit="1" customWidth="1"/>
    <col min="7700" max="7700" width="20.85546875" style="20" bestFit="1" customWidth="1"/>
    <col min="7701" max="7701" width="19.85546875" style="20" bestFit="1" customWidth="1"/>
    <col min="7702" max="7702" width="12" style="20" bestFit="1" customWidth="1"/>
    <col min="7703" max="7937" width="9.140625" style="20"/>
    <col min="7938" max="7938" width="5.28515625" style="20" customWidth="1"/>
    <col min="7939" max="7940" width="9.5703125" style="20" customWidth="1"/>
    <col min="7941" max="7941" width="7.85546875" style="20" customWidth="1"/>
    <col min="7942" max="7942" width="22.140625" style="20" customWidth="1"/>
    <col min="7943" max="7943" width="8.7109375" style="20" customWidth="1"/>
    <col min="7944" max="7944" width="8.140625" style="20" customWidth="1"/>
    <col min="7945" max="7945" width="13" style="20" customWidth="1"/>
    <col min="7946" max="7946" width="13.5703125" style="20" customWidth="1"/>
    <col min="7947" max="7948" width="13.28515625" style="20" customWidth="1"/>
    <col min="7949" max="7949" width="6.7109375" style="20" customWidth="1"/>
    <col min="7950" max="7950" width="8.140625" style="20" customWidth="1"/>
    <col min="7951" max="7951" width="7.28515625" style="20" customWidth="1"/>
    <col min="7952" max="7952" width="15" style="20" customWidth="1"/>
    <col min="7953" max="7953" width="3.85546875" style="20" customWidth="1"/>
    <col min="7954" max="7954" width="10.85546875" style="20" bestFit="1" customWidth="1"/>
    <col min="7955" max="7955" width="10.5703125" style="20" bestFit="1" customWidth="1"/>
    <col min="7956" max="7956" width="20.85546875" style="20" bestFit="1" customWidth="1"/>
    <col min="7957" max="7957" width="19.85546875" style="20" bestFit="1" customWidth="1"/>
    <col min="7958" max="7958" width="12" style="20" bestFit="1" customWidth="1"/>
    <col min="7959" max="8193" width="9.140625" style="20"/>
    <col min="8194" max="8194" width="5.28515625" style="20" customWidth="1"/>
    <col min="8195" max="8196" width="9.5703125" style="20" customWidth="1"/>
    <col min="8197" max="8197" width="7.85546875" style="20" customWidth="1"/>
    <col min="8198" max="8198" width="22.140625" style="20" customWidth="1"/>
    <col min="8199" max="8199" width="8.7109375" style="20" customWidth="1"/>
    <col min="8200" max="8200" width="8.140625" style="20" customWidth="1"/>
    <col min="8201" max="8201" width="13" style="20" customWidth="1"/>
    <col min="8202" max="8202" width="13.5703125" style="20" customWidth="1"/>
    <col min="8203" max="8204" width="13.28515625" style="20" customWidth="1"/>
    <col min="8205" max="8205" width="6.7109375" style="20" customWidth="1"/>
    <col min="8206" max="8206" width="8.140625" style="20" customWidth="1"/>
    <col min="8207" max="8207" width="7.28515625" style="20" customWidth="1"/>
    <col min="8208" max="8208" width="15" style="20" customWidth="1"/>
    <col min="8209" max="8209" width="3.85546875" style="20" customWidth="1"/>
    <col min="8210" max="8210" width="10.85546875" style="20" bestFit="1" customWidth="1"/>
    <col min="8211" max="8211" width="10.5703125" style="20" bestFit="1" customWidth="1"/>
    <col min="8212" max="8212" width="20.85546875" style="20" bestFit="1" customWidth="1"/>
    <col min="8213" max="8213" width="19.85546875" style="20" bestFit="1" customWidth="1"/>
    <col min="8214" max="8214" width="12" style="20" bestFit="1" customWidth="1"/>
    <col min="8215" max="8449" width="9.140625" style="20"/>
    <col min="8450" max="8450" width="5.28515625" style="20" customWidth="1"/>
    <col min="8451" max="8452" width="9.5703125" style="20" customWidth="1"/>
    <col min="8453" max="8453" width="7.85546875" style="20" customWidth="1"/>
    <col min="8454" max="8454" width="22.140625" style="20" customWidth="1"/>
    <col min="8455" max="8455" width="8.7109375" style="20" customWidth="1"/>
    <col min="8456" max="8456" width="8.140625" style="20" customWidth="1"/>
    <col min="8457" max="8457" width="13" style="20" customWidth="1"/>
    <col min="8458" max="8458" width="13.5703125" style="20" customWidth="1"/>
    <col min="8459" max="8460" width="13.28515625" style="20" customWidth="1"/>
    <col min="8461" max="8461" width="6.7109375" style="20" customWidth="1"/>
    <col min="8462" max="8462" width="8.140625" style="20" customWidth="1"/>
    <col min="8463" max="8463" width="7.28515625" style="20" customWidth="1"/>
    <col min="8464" max="8464" width="15" style="20" customWidth="1"/>
    <col min="8465" max="8465" width="3.85546875" style="20" customWidth="1"/>
    <col min="8466" max="8466" width="10.85546875" style="20" bestFit="1" customWidth="1"/>
    <col min="8467" max="8467" width="10.5703125" style="20" bestFit="1" customWidth="1"/>
    <col min="8468" max="8468" width="20.85546875" style="20" bestFit="1" customWidth="1"/>
    <col min="8469" max="8469" width="19.85546875" style="20" bestFit="1" customWidth="1"/>
    <col min="8470" max="8470" width="12" style="20" bestFit="1" customWidth="1"/>
    <col min="8471" max="8705" width="9.140625" style="20"/>
    <col min="8706" max="8706" width="5.28515625" style="20" customWidth="1"/>
    <col min="8707" max="8708" width="9.5703125" style="20" customWidth="1"/>
    <col min="8709" max="8709" width="7.85546875" style="20" customWidth="1"/>
    <col min="8710" max="8710" width="22.140625" style="20" customWidth="1"/>
    <col min="8711" max="8711" width="8.7109375" style="20" customWidth="1"/>
    <col min="8712" max="8712" width="8.140625" style="20" customWidth="1"/>
    <col min="8713" max="8713" width="13" style="20" customWidth="1"/>
    <col min="8714" max="8714" width="13.5703125" style="20" customWidth="1"/>
    <col min="8715" max="8716" width="13.28515625" style="20" customWidth="1"/>
    <col min="8717" max="8717" width="6.7109375" style="20" customWidth="1"/>
    <col min="8718" max="8718" width="8.140625" style="20" customWidth="1"/>
    <col min="8719" max="8719" width="7.28515625" style="20" customWidth="1"/>
    <col min="8720" max="8720" width="15" style="20" customWidth="1"/>
    <col min="8721" max="8721" width="3.85546875" style="20" customWidth="1"/>
    <col min="8722" max="8722" width="10.85546875" style="20" bestFit="1" customWidth="1"/>
    <col min="8723" max="8723" width="10.5703125" style="20" bestFit="1" customWidth="1"/>
    <col min="8724" max="8724" width="20.85546875" style="20" bestFit="1" customWidth="1"/>
    <col min="8725" max="8725" width="19.85546875" style="20" bestFit="1" customWidth="1"/>
    <col min="8726" max="8726" width="12" style="20" bestFit="1" customWidth="1"/>
    <col min="8727" max="8961" width="9.140625" style="20"/>
    <col min="8962" max="8962" width="5.28515625" style="20" customWidth="1"/>
    <col min="8963" max="8964" width="9.5703125" style="20" customWidth="1"/>
    <col min="8965" max="8965" width="7.85546875" style="20" customWidth="1"/>
    <col min="8966" max="8966" width="22.140625" style="20" customWidth="1"/>
    <col min="8967" max="8967" width="8.7109375" style="20" customWidth="1"/>
    <col min="8968" max="8968" width="8.140625" style="20" customWidth="1"/>
    <col min="8969" max="8969" width="13" style="20" customWidth="1"/>
    <col min="8970" max="8970" width="13.5703125" style="20" customWidth="1"/>
    <col min="8971" max="8972" width="13.28515625" style="20" customWidth="1"/>
    <col min="8973" max="8973" width="6.7109375" style="20" customWidth="1"/>
    <col min="8974" max="8974" width="8.140625" style="20" customWidth="1"/>
    <col min="8975" max="8975" width="7.28515625" style="20" customWidth="1"/>
    <col min="8976" max="8976" width="15" style="20" customWidth="1"/>
    <col min="8977" max="8977" width="3.85546875" style="20" customWidth="1"/>
    <col min="8978" max="8978" width="10.85546875" style="20" bestFit="1" customWidth="1"/>
    <col min="8979" max="8979" width="10.5703125" style="20" bestFit="1" customWidth="1"/>
    <col min="8980" max="8980" width="20.85546875" style="20" bestFit="1" customWidth="1"/>
    <col min="8981" max="8981" width="19.85546875" style="20" bestFit="1" customWidth="1"/>
    <col min="8982" max="8982" width="12" style="20" bestFit="1" customWidth="1"/>
    <col min="8983" max="9217" width="9.140625" style="20"/>
    <col min="9218" max="9218" width="5.28515625" style="20" customWidth="1"/>
    <col min="9219" max="9220" width="9.5703125" style="20" customWidth="1"/>
    <col min="9221" max="9221" width="7.85546875" style="20" customWidth="1"/>
    <col min="9222" max="9222" width="22.140625" style="20" customWidth="1"/>
    <col min="9223" max="9223" width="8.7109375" style="20" customWidth="1"/>
    <col min="9224" max="9224" width="8.140625" style="20" customWidth="1"/>
    <col min="9225" max="9225" width="13" style="20" customWidth="1"/>
    <col min="9226" max="9226" width="13.5703125" style="20" customWidth="1"/>
    <col min="9227" max="9228" width="13.28515625" style="20" customWidth="1"/>
    <col min="9229" max="9229" width="6.7109375" style="20" customWidth="1"/>
    <col min="9230" max="9230" width="8.140625" style="20" customWidth="1"/>
    <col min="9231" max="9231" width="7.28515625" style="20" customWidth="1"/>
    <col min="9232" max="9232" width="15" style="20" customWidth="1"/>
    <col min="9233" max="9233" width="3.85546875" style="20" customWidth="1"/>
    <col min="9234" max="9234" width="10.85546875" style="20" bestFit="1" customWidth="1"/>
    <col min="9235" max="9235" width="10.5703125" style="20" bestFit="1" customWidth="1"/>
    <col min="9236" max="9236" width="20.85546875" style="20" bestFit="1" customWidth="1"/>
    <col min="9237" max="9237" width="19.85546875" style="20" bestFit="1" customWidth="1"/>
    <col min="9238" max="9238" width="12" style="20" bestFit="1" customWidth="1"/>
    <col min="9239" max="9473" width="9.140625" style="20"/>
    <col min="9474" max="9474" width="5.28515625" style="20" customWidth="1"/>
    <col min="9475" max="9476" width="9.5703125" style="20" customWidth="1"/>
    <col min="9477" max="9477" width="7.85546875" style="20" customWidth="1"/>
    <col min="9478" max="9478" width="22.140625" style="20" customWidth="1"/>
    <col min="9479" max="9479" width="8.7109375" style="20" customWidth="1"/>
    <col min="9480" max="9480" width="8.140625" style="20" customWidth="1"/>
    <col min="9481" max="9481" width="13" style="20" customWidth="1"/>
    <col min="9482" max="9482" width="13.5703125" style="20" customWidth="1"/>
    <col min="9483" max="9484" width="13.28515625" style="20" customWidth="1"/>
    <col min="9485" max="9485" width="6.7109375" style="20" customWidth="1"/>
    <col min="9486" max="9486" width="8.140625" style="20" customWidth="1"/>
    <col min="9487" max="9487" width="7.28515625" style="20" customWidth="1"/>
    <col min="9488" max="9488" width="15" style="20" customWidth="1"/>
    <col min="9489" max="9489" width="3.85546875" style="20" customWidth="1"/>
    <col min="9490" max="9490" width="10.85546875" style="20" bestFit="1" customWidth="1"/>
    <col min="9491" max="9491" width="10.5703125" style="20" bestFit="1" customWidth="1"/>
    <col min="9492" max="9492" width="20.85546875" style="20" bestFit="1" customWidth="1"/>
    <col min="9493" max="9493" width="19.85546875" style="20" bestFit="1" customWidth="1"/>
    <col min="9494" max="9494" width="12" style="20" bestFit="1" customWidth="1"/>
    <col min="9495" max="9729" width="9.140625" style="20"/>
    <col min="9730" max="9730" width="5.28515625" style="20" customWidth="1"/>
    <col min="9731" max="9732" width="9.5703125" style="20" customWidth="1"/>
    <col min="9733" max="9733" width="7.85546875" style="20" customWidth="1"/>
    <col min="9734" max="9734" width="22.140625" style="20" customWidth="1"/>
    <col min="9735" max="9735" width="8.7109375" style="20" customWidth="1"/>
    <col min="9736" max="9736" width="8.140625" style="20" customWidth="1"/>
    <col min="9737" max="9737" width="13" style="20" customWidth="1"/>
    <col min="9738" max="9738" width="13.5703125" style="20" customWidth="1"/>
    <col min="9739" max="9740" width="13.28515625" style="20" customWidth="1"/>
    <col min="9741" max="9741" width="6.7109375" style="20" customWidth="1"/>
    <col min="9742" max="9742" width="8.140625" style="20" customWidth="1"/>
    <col min="9743" max="9743" width="7.28515625" style="20" customWidth="1"/>
    <col min="9744" max="9744" width="15" style="20" customWidth="1"/>
    <col min="9745" max="9745" width="3.85546875" style="20" customWidth="1"/>
    <col min="9746" max="9746" width="10.85546875" style="20" bestFit="1" customWidth="1"/>
    <col min="9747" max="9747" width="10.5703125" style="20" bestFit="1" customWidth="1"/>
    <col min="9748" max="9748" width="20.85546875" style="20" bestFit="1" customWidth="1"/>
    <col min="9749" max="9749" width="19.85546875" style="20" bestFit="1" customWidth="1"/>
    <col min="9750" max="9750" width="12" style="20" bestFit="1" customWidth="1"/>
    <col min="9751" max="9985" width="9.140625" style="20"/>
    <col min="9986" max="9986" width="5.28515625" style="20" customWidth="1"/>
    <col min="9987" max="9988" width="9.5703125" style="20" customWidth="1"/>
    <col min="9989" max="9989" width="7.85546875" style="20" customWidth="1"/>
    <col min="9990" max="9990" width="22.140625" style="20" customWidth="1"/>
    <col min="9991" max="9991" width="8.7109375" style="20" customWidth="1"/>
    <col min="9992" max="9992" width="8.140625" style="20" customWidth="1"/>
    <col min="9993" max="9993" width="13" style="20" customWidth="1"/>
    <col min="9994" max="9994" width="13.5703125" style="20" customWidth="1"/>
    <col min="9995" max="9996" width="13.28515625" style="20" customWidth="1"/>
    <col min="9997" max="9997" width="6.7109375" style="20" customWidth="1"/>
    <col min="9998" max="9998" width="8.140625" style="20" customWidth="1"/>
    <col min="9999" max="9999" width="7.28515625" style="20" customWidth="1"/>
    <col min="10000" max="10000" width="15" style="20" customWidth="1"/>
    <col min="10001" max="10001" width="3.85546875" style="20" customWidth="1"/>
    <col min="10002" max="10002" width="10.85546875" style="20" bestFit="1" customWidth="1"/>
    <col min="10003" max="10003" width="10.5703125" style="20" bestFit="1" customWidth="1"/>
    <col min="10004" max="10004" width="20.85546875" style="20" bestFit="1" customWidth="1"/>
    <col min="10005" max="10005" width="19.85546875" style="20" bestFit="1" customWidth="1"/>
    <col min="10006" max="10006" width="12" style="20" bestFit="1" customWidth="1"/>
    <col min="10007" max="10241" width="9.140625" style="20"/>
    <col min="10242" max="10242" width="5.28515625" style="20" customWidth="1"/>
    <col min="10243" max="10244" width="9.5703125" style="20" customWidth="1"/>
    <col min="10245" max="10245" width="7.85546875" style="20" customWidth="1"/>
    <col min="10246" max="10246" width="22.140625" style="20" customWidth="1"/>
    <col min="10247" max="10247" width="8.7109375" style="20" customWidth="1"/>
    <col min="10248" max="10248" width="8.140625" style="20" customWidth="1"/>
    <col min="10249" max="10249" width="13" style="20" customWidth="1"/>
    <col min="10250" max="10250" width="13.5703125" style="20" customWidth="1"/>
    <col min="10251" max="10252" width="13.28515625" style="20" customWidth="1"/>
    <col min="10253" max="10253" width="6.7109375" style="20" customWidth="1"/>
    <col min="10254" max="10254" width="8.140625" style="20" customWidth="1"/>
    <col min="10255" max="10255" width="7.28515625" style="20" customWidth="1"/>
    <col min="10256" max="10256" width="15" style="20" customWidth="1"/>
    <col min="10257" max="10257" width="3.85546875" style="20" customWidth="1"/>
    <col min="10258" max="10258" width="10.85546875" style="20" bestFit="1" customWidth="1"/>
    <col min="10259" max="10259" width="10.5703125" style="20" bestFit="1" customWidth="1"/>
    <col min="10260" max="10260" width="20.85546875" style="20" bestFit="1" customWidth="1"/>
    <col min="10261" max="10261" width="19.85546875" style="20" bestFit="1" customWidth="1"/>
    <col min="10262" max="10262" width="12" style="20" bestFit="1" customWidth="1"/>
    <col min="10263" max="10497" width="9.140625" style="20"/>
    <col min="10498" max="10498" width="5.28515625" style="20" customWidth="1"/>
    <col min="10499" max="10500" width="9.5703125" style="20" customWidth="1"/>
    <col min="10501" max="10501" width="7.85546875" style="20" customWidth="1"/>
    <col min="10502" max="10502" width="22.140625" style="20" customWidth="1"/>
    <col min="10503" max="10503" width="8.7109375" style="20" customWidth="1"/>
    <col min="10504" max="10504" width="8.140625" style="20" customWidth="1"/>
    <col min="10505" max="10505" width="13" style="20" customWidth="1"/>
    <col min="10506" max="10506" width="13.5703125" style="20" customWidth="1"/>
    <col min="10507" max="10508" width="13.28515625" style="20" customWidth="1"/>
    <col min="10509" max="10509" width="6.7109375" style="20" customWidth="1"/>
    <col min="10510" max="10510" width="8.140625" style="20" customWidth="1"/>
    <col min="10511" max="10511" width="7.28515625" style="20" customWidth="1"/>
    <col min="10512" max="10512" width="15" style="20" customWidth="1"/>
    <col min="10513" max="10513" width="3.85546875" style="20" customWidth="1"/>
    <col min="10514" max="10514" width="10.85546875" style="20" bestFit="1" customWidth="1"/>
    <col min="10515" max="10515" width="10.5703125" style="20" bestFit="1" customWidth="1"/>
    <col min="10516" max="10516" width="20.85546875" style="20" bestFit="1" customWidth="1"/>
    <col min="10517" max="10517" width="19.85546875" style="20" bestFit="1" customWidth="1"/>
    <col min="10518" max="10518" width="12" style="20" bestFit="1" customWidth="1"/>
    <col min="10519" max="10753" width="9.140625" style="20"/>
    <col min="10754" max="10754" width="5.28515625" style="20" customWidth="1"/>
    <col min="10755" max="10756" width="9.5703125" style="20" customWidth="1"/>
    <col min="10757" max="10757" width="7.85546875" style="20" customWidth="1"/>
    <col min="10758" max="10758" width="22.140625" style="20" customWidth="1"/>
    <col min="10759" max="10759" width="8.7109375" style="20" customWidth="1"/>
    <col min="10760" max="10760" width="8.140625" style="20" customWidth="1"/>
    <col min="10761" max="10761" width="13" style="20" customWidth="1"/>
    <col min="10762" max="10762" width="13.5703125" style="20" customWidth="1"/>
    <col min="10763" max="10764" width="13.28515625" style="20" customWidth="1"/>
    <col min="10765" max="10765" width="6.7109375" style="20" customWidth="1"/>
    <col min="10766" max="10766" width="8.140625" style="20" customWidth="1"/>
    <col min="10767" max="10767" width="7.28515625" style="20" customWidth="1"/>
    <col min="10768" max="10768" width="15" style="20" customWidth="1"/>
    <col min="10769" max="10769" width="3.85546875" style="20" customWidth="1"/>
    <col min="10770" max="10770" width="10.85546875" style="20" bestFit="1" customWidth="1"/>
    <col min="10771" max="10771" width="10.5703125" style="20" bestFit="1" customWidth="1"/>
    <col min="10772" max="10772" width="20.85546875" style="20" bestFit="1" customWidth="1"/>
    <col min="10773" max="10773" width="19.85546875" style="20" bestFit="1" customWidth="1"/>
    <col min="10774" max="10774" width="12" style="20" bestFit="1" customWidth="1"/>
    <col min="10775" max="11009" width="9.140625" style="20"/>
    <col min="11010" max="11010" width="5.28515625" style="20" customWidth="1"/>
    <col min="11011" max="11012" width="9.5703125" style="20" customWidth="1"/>
    <col min="11013" max="11013" width="7.85546875" style="20" customWidth="1"/>
    <col min="11014" max="11014" width="22.140625" style="20" customWidth="1"/>
    <col min="11015" max="11015" width="8.7109375" style="20" customWidth="1"/>
    <col min="11016" max="11016" width="8.140625" style="20" customWidth="1"/>
    <col min="11017" max="11017" width="13" style="20" customWidth="1"/>
    <col min="11018" max="11018" width="13.5703125" style="20" customWidth="1"/>
    <col min="11019" max="11020" width="13.28515625" style="20" customWidth="1"/>
    <col min="11021" max="11021" width="6.7109375" style="20" customWidth="1"/>
    <col min="11022" max="11022" width="8.140625" style="20" customWidth="1"/>
    <col min="11023" max="11023" width="7.28515625" style="20" customWidth="1"/>
    <col min="11024" max="11024" width="15" style="20" customWidth="1"/>
    <col min="11025" max="11025" width="3.85546875" style="20" customWidth="1"/>
    <col min="11026" max="11026" width="10.85546875" style="20" bestFit="1" customWidth="1"/>
    <col min="11027" max="11027" width="10.5703125" style="20" bestFit="1" customWidth="1"/>
    <col min="11028" max="11028" width="20.85546875" style="20" bestFit="1" customWidth="1"/>
    <col min="11029" max="11029" width="19.85546875" style="20" bestFit="1" customWidth="1"/>
    <col min="11030" max="11030" width="12" style="20" bestFit="1" customWidth="1"/>
    <col min="11031" max="11265" width="9.140625" style="20"/>
    <col min="11266" max="11266" width="5.28515625" style="20" customWidth="1"/>
    <col min="11267" max="11268" width="9.5703125" style="20" customWidth="1"/>
    <col min="11269" max="11269" width="7.85546875" style="20" customWidth="1"/>
    <col min="11270" max="11270" width="22.140625" style="20" customWidth="1"/>
    <col min="11271" max="11271" width="8.7109375" style="20" customWidth="1"/>
    <col min="11272" max="11272" width="8.140625" style="20" customWidth="1"/>
    <col min="11273" max="11273" width="13" style="20" customWidth="1"/>
    <col min="11274" max="11274" width="13.5703125" style="20" customWidth="1"/>
    <col min="11275" max="11276" width="13.28515625" style="20" customWidth="1"/>
    <col min="11277" max="11277" width="6.7109375" style="20" customWidth="1"/>
    <col min="11278" max="11278" width="8.140625" style="20" customWidth="1"/>
    <col min="11279" max="11279" width="7.28515625" style="20" customWidth="1"/>
    <col min="11280" max="11280" width="15" style="20" customWidth="1"/>
    <col min="11281" max="11281" width="3.85546875" style="20" customWidth="1"/>
    <col min="11282" max="11282" width="10.85546875" style="20" bestFit="1" customWidth="1"/>
    <col min="11283" max="11283" width="10.5703125" style="20" bestFit="1" customWidth="1"/>
    <col min="11284" max="11284" width="20.85546875" style="20" bestFit="1" customWidth="1"/>
    <col min="11285" max="11285" width="19.85546875" style="20" bestFit="1" customWidth="1"/>
    <col min="11286" max="11286" width="12" style="20" bestFit="1" customWidth="1"/>
    <col min="11287" max="11521" width="9.140625" style="20"/>
    <col min="11522" max="11522" width="5.28515625" style="20" customWidth="1"/>
    <col min="11523" max="11524" width="9.5703125" style="20" customWidth="1"/>
    <col min="11525" max="11525" width="7.85546875" style="20" customWidth="1"/>
    <col min="11526" max="11526" width="22.140625" style="20" customWidth="1"/>
    <col min="11527" max="11527" width="8.7109375" style="20" customWidth="1"/>
    <col min="11528" max="11528" width="8.140625" style="20" customWidth="1"/>
    <col min="11529" max="11529" width="13" style="20" customWidth="1"/>
    <col min="11530" max="11530" width="13.5703125" style="20" customWidth="1"/>
    <col min="11531" max="11532" width="13.28515625" style="20" customWidth="1"/>
    <col min="11533" max="11533" width="6.7109375" style="20" customWidth="1"/>
    <col min="11534" max="11534" width="8.140625" style="20" customWidth="1"/>
    <col min="11535" max="11535" width="7.28515625" style="20" customWidth="1"/>
    <col min="11536" max="11536" width="15" style="20" customWidth="1"/>
    <col min="11537" max="11537" width="3.85546875" style="20" customWidth="1"/>
    <col min="11538" max="11538" width="10.85546875" style="20" bestFit="1" customWidth="1"/>
    <col min="11539" max="11539" width="10.5703125" style="20" bestFit="1" customWidth="1"/>
    <col min="11540" max="11540" width="20.85546875" style="20" bestFit="1" customWidth="1"/>
    <col min="11541" max="11541" width="19.85546875" style="20" bestFit="1" customWidth="1"/>
    <col min="11542" max="11542" width="12" style="20" bestFit="1" customWidth="1"/>
    <col min="11543" max="11777" width="9.140625" style="20"/>
    <col min="11778" max="11778" width="5.28515625" style="20" customWidth="1"/>
    <col min="11779" max="11780" width="9.5703125" style="20" customWidth="1"/>
    <col min="11781" max="11781" width="7.85546875" style="20" customWidth="1"/>
    <col min="11782" max="11782" width="22.140625" style="20" customWidth="1"/>
    <col min="11783" max="11783" width="8.7109375" style="20" customWidth="1"/>
    <col min="11784" max="11784" width="8.140625" style="20" customWidth="1"/>
    <col min="11785" max="11785" width="13" style="20" customWidth="1"/>
    <col min="11786" max="11786" width="13.5703125" style="20" customWidth="1"/>
    <col min="11787" max="11788" width="13.28515625" style="20" customWidth="1"/>
    <col min="11789" max="11789" width="6.7109375" style="20" customWidth="1"/>
    <col min="11790" max="11790" width="8.140625" style="20" customWidth="1"/>
    <col min="11791" max="11791" width="7.28515625" style="20" customWidth="1"/>
    <col min="11792" max="11792" width="15" style="20" customWidth="1"/>
    <col min="11793" max="11793" width="3.85546875" style="20" customWidth="1"/>
    <col min="11794" max="11794" width="10.85546875" style="20" bestFit="1" customWidth="1"/>
    <col min="11795" max="11795" width="10.5703125" style="20" bestFit="1" customWidth="1"/>
    <col min="11796" max="11796" width="20.85546875" style="20" bestFit="1" customWidth="1"/>
    <col min="11797" max="11797" width="19.85546875" style="20" bestFit="1" customWidth="1"/>
    <col min="11798" max="11798" width="12" style="20" bestFit="1" customWidth="1"/>
    <col min="11799" max="12033" width="9.140625" style="20"/>
    <col min="12034" max="12034" width="5.28515625" style="20" customWidth="1"/>
    <col min="12035" max="12036" width="9.5703125" style="20" customWidth="1"/>
    <col min="12037" max="12037" width="7.85546875" style="20" customWidth="1"/>
    <col min="12038" max="12038" width="22.140625" style="20" customWidth="1"/>
    <col min="12039" max="12039" width="8.7109375" style="20" customWidth="1"/>
    <col min="12040" max="12040" width="8.140625" style="20" customWidth="1"/>
    <col min="12041" max="12041" width="13" style="20" customWidth="1"/>
    <col min="12042" max="12042" width="13.5703125" style="20" customWidth="1"/>
    <col min="12043" max="12044" width="13.28515625" style="20" customWidth="1"/>
    <col min="12045" max="12045" width="6.7109375" style="20" customWidth="1"/>
    <col min="12046" max="12046" width="8.140625" style="20" customWidth="1"/>
    <col min="12047" max="12047" width="7.28515625" style="20" customWidth="1"/>
    <col min="12048" max="12048" width="15" style="20" customWidth="1"/>
    <col min="12049" max="12049" width="3.85546875" style="20" customWidth="1"/>
    <col min="12050" max="12050" width="10.85546875" style="20" bestFit="1" customWidth="1"/>
    <col min="12051" max="12051" width="10.5703125" style="20" bestFit="1" customWidth="1"/>
    <col min="12052" max="12052" width="20.85546875" style="20" bestFit="1" customWidth="1"/>
    <col min="12053" max="12053" width="19.85546875" style="20" bestFit="1" customWidth="1"/>
    <col min="12054" max="12054" width="12" style="20" bestFit="1" customWidth="1"/>
    <col min="12055" max="12289" width="9.140625" style="20"/>
    <col min="12290" max="12290" width="5.28515625" style="20" customWidth="1"/>
    <col min="12291" max="12292" width="9.5703125" style="20" customWidth="1"/>
    <col min="12293" max="12293" width="7.85546875" style="20" customWidth="1"/>
    <col min="12294" max="12294" width="22.140625" style="20" customWidth="1"/>
    <col min="12295" max="12295" width="8.7109375" style="20" customWidth="1"/>
    <col min="12296" max="12296" width="8.140625" style="20" customWidth="1"/>
    <col min="12297" max="12297" width="13" style="20" customWidth="1"/>
    <col min="12298" max="12298" width="13.5703125" style="20" customWidth="1"/>
    <col min="12299" max="12300" width="13.28515625" style="20" customWidth="1"/>
    <col min="12301" max="12301" width="6.7109375" style="20" customWidth="1"/>
    <col min="12302" max="12302" width="8.140625" style="20" customWidth="1"/>
    <col min="12303" max="12303" width="7.28515625" style="20" customWidth="1"/>
    <col min="12304" max="12304" width="15" style="20" customWidth="1"/>
    <col min="12305" max="12305" width="3.85546875" style="20" customWidth="1"/>
    <col min="12306" max="12306" width="10.85546875" style="20" bestFit="1" customWidth="1"/>
    <col min="12307" max="12307" width="10.5703125" style="20" bestFit="1" customWidth="1"/>
    <col min="12308" max="12308" width="20.85546875" style="20" bestFit="1" customWidth="1"/>
    <col min="12309" max="12309" width="19.85546875" style="20" bestFit="1" customWidth="1"/>
    <col min="12310" max="12310" width="12" style="20" bestFit="1" customWidth="1"/>
    <col min="12311" max="12545" width="9.140625" style="20"/>
    <col min="12546" max="12546" width="5.28515625" style="20" customWidth="1"/>
    <col min="12547" max="12548" width="9.5703125" style="20" customWidth="1"/>
    <col min="12549" max="12549" width="7.85546875" style="20" customWidth="1"/>
    <col min="12550" max="12550" width="22.140625" style="20" customWidth="1"/>
    <col min="12551" max="12551" width="8.7109375" style="20" customWidth="1"/>
    <col min="12552" max="12552" width="8.140625" style="20" customWidth="1"/>
    <col min="12553" max="12553" width="13" style="20" customWidth="1"/>
    <col min="12554" max="12554" width="13.5703125" style="20" customWidth="1"/>
    <col min="12555" max="12556" width="13.28515625" style="20" customWidth="1"/>
    <col min="12557" max="12557" width="6.7109375" style="20" customWidth="1"/>
    <col min="12558" max="12558" width="8.140625" style="20" customWidth="1"/>
    <col min="12559" max="12559" width="7.28515625" style="20" customWidth="1"/>
    <col min="12560" max="12560" width="15" style="20" customWidth="1"/>
    <col min="12561" max="12561" width="3.85546875" style="20" customWidth="1"/>
    <col min="12562" max="12562" width="10.85546875" style="20" bestFit="1" customWidth="1"/>
    <col min="12563" max="12563" width="10.5703125" style="20" bestFit="1" customWidth="1"/>
    <col min="12564" max="12564" width="20.85546875" style="20" bestFit="1" customWidth="1"/>
    <col min="12565" max="12565" width="19.85546875" style="20" bestFit="1" customWidth="1"/>
    <col min="12566" max="12566" width="12" style="20" bestFit="1" customWidth="1"/>
    <col min="12567" max="12801" width="9.140625" style="20"/>
    <col min="12802" max="12802" width="5.28515625" style="20" customWidth="1"/>
    <col min="12803" max="12804" width="9.5703125" style="20" customWidth="1"/>
    <col min="12805" max="12805" width="7.85546875" style="20" customWidth="1"/>
    <col min="12806" max="12806" width="22.140625" style="20" customWidth="1"/>
    <col min="12807" max="12807" width="8.7109375" style="20" customWidth="1"/>
    <col min="12808" max="12808" width="8.140625" style="20" customWidth="1"/>
    <col min="12809" max="12809" width="13" style="20" customWidth="1"/>
    <col min="12810" max="12810" width="13.5703125" style="20" customWidth="1"/>
    <col min="12811" max="12812" width="13.28515625" style="20" customWidth="1"/>
    <col min="12813" max="12813" width="6.7109375" style="20" customWidth="1"/>
    <col min="12814" max="12814" width="8.140625" style="20" customWidth="1"/>
    <col min="12815" max="12815" width="7.28515625" style="20" customWidth="1"/>
    <col min="12816" max="12816" width="15" style="20" customWidth="1"/>
    <col min="12817" max="12817" width="3.85546875" style="20" customWidth="1"/>
    <col min="12818" max="12818" width="10.85546875" style="20" bestFit="1" customWidth="1"/>
    <col min="12819" max="12819" width="10.5703125" style="20" bestFit="1" customWidth="1"/>
    <col min="12820" max="12820" width="20.85546875" style="20" bestFit="1" customWidth="1"/>
    <col min="12821" max="12821" width="19.85546875" style="20" bestFit="1" customWidth="1"/>
    <col min="12822" max="12822" width="12" style="20" bestFit="1" customWidth="1"/>
    <col min="12823" max="13057" width="9.140625" style="20"/>
    <col min="13058" max="13058" width="5.28515625" style="20" customWidth="1"/>
    <col min="13059" max="13060" width="9.5703125" style="20" customWidth="1"/>
    <col min="13061" max="13061" width="7.85546875" style="20" customWidth="1"/>
    <col min="13062" max="13062" width="22.140625" style="20" customWidth="1"/>
    <col min="13063" max="13063" width="8.7109375" style="20" customWidth="1"/>
    <col min="13064" max="13064" width="8.140625" style="20" customWidth="1"/>
    <col min="13065" max="13065" width="13" style="20" customWidth="1"/>
    <col min="13066" max="13066" width="13.5703125" style="20" customWidth="1"/>
    <col min="13067" max="13068" width="13.28515625" style="20" customWidth="1"/>
    <col min="13069" max="13069" width="6.7109375" style="20" customWidth="1"/>
    <col min="13070" max="13070" width="8.140625" style="20" customWidth="1"/>
    <col min="13071" max="13071" width="7.28515625" style="20" customWidth="1"/>
    <col min="13072" max="13072" width="15" style="20" customWidth="1"/>
    <col min="13073" max="13073" width="3.85546875" style="20" customWidth="1"/>
    <col min="13074" max="13074" width="10.85546875" style="20" bestFit="1" customWidth="1"/>
    <col min="13075" max="13075" width="10.5703125" style="20" bestFit="1" customWidth="1"/>
    <col min="13076" max="13076" width="20.85546875" style="20" bestFit="1" customWidth="1"/>
    <col min="13077" max="13077" width="19.85546875" style="20" bestFit="1" customWidth="1"/>
    <col min="13078" max="13078" width="12" style="20" bestFit="1" customWidth="1"/>
    <col min="13079" max="13313" width="9.140625" style="20"/>
    <col min="13314" max="13314" width="5.28515625" style="20" customWidth="1"/>
    <col min="13315" max="13316" width="9.5703125" style="20" customWidth="1"/>
    <col min="13317" max="13317" width="7.85546875" style="20" customWidth="1"/>
    <col min="13318" max="13318" width="22.140625" style="20" customWidth="1"/>
    <col min="13319" max="13319" width="8.7109375" style="20" customWidth="1"/>
    <col min="13320" max="13320" width="8.140625" style="20" customWidth="1"/>
    <col min="13321" max="13321" width="13" style="20" customWidth="1"/>
    <col min="13322" max="13322" width="13.5703125" style="20" customWidth="1"/>
    <col min="13323" max="13324" width="13.28515625" style="20" customWidth="1"/>
    <col min="13325" max="13325" width="6.7109375" style="20" customWidth="1"/>
    <col min="13326" max="13326" width="8.140625" style="20" customWidth="1"/>
    <col min="13327" max="13327" width="7.28515625" style="20" customWidth="1"/>
    <col min="13328" max="13328" width="15" style="20" customWidth="1"/>
    <col min="13329" max="13329" width="3.85546875" style="20" customWidth="1"/>
    <col min="13330" max="13330" width="10.85546875" style="20" bestFit="1" customWidth="1"/>
    <col min="13331" max="13331" width="10.5703125" style="20" bestFit="1" customWidth="1"/>
    <col min="13332" max="13332" width="20.85546875" style="20" bestFit="1" customWidth="1"/>
    <col min="13333" max="13333" width="19.85546875" style="20" bestFit="1" customWidth="1"/>
    <col min="13334" max="13334" width="12" style="20" bestFit="1" customWidth="1"/>
    <col min="13335" max="13569" width="9.140625" style="20"/>
    <col min="13570" max="13570" width="5.28515625" style="20" customWidth="1"/>
    <col min="13571" max="13572" width="9.5703125" style="20" customWidth="1"/>
    <col min="13573" max="13573" width="7.85546875" style="20" customWidth="1"/>
    <col min="13574" max="13574" width="22.140625" style="20" customWidth="1"/>
    <col min="13575" max="13575" width="8.7109375" style="20" customWidth="1"/>
    <col min="13576" max="13576" width="8.140625" style="20" customWidth="1"/>
    <col min="13577" max="13577" width="13" style="20" customWidth="1"/>
    <col min="13578" max="13578" width="13.5703125" style="20" customWidth="1"/>
    <col min="13579" max="13580" width="13.28515625" style="20" customWidth="1"/>
    <col min="13581" max="13581" width="6.7109375" style="20" customWidth="1"/>
    <col min="13582" max="13582" width="8.140625" style="20" customWidth="1"/>
    <col min="13583" max="13583" width="7.28515625" style="20" customWidth="1"/>
    <col min="13584" max="13584" width="15" style="20" customWidth="1"/>
    <col min="13585" max="13585" width="3.85546875" style="20" customWidth="1"/>
    <col min="13586" max="13586" width="10.85546875" style="20" bestFit="1" customWidth="1"/>
    <col min="13587" max="13587" width="10.5703125" style="20" bestFit="1" customWidth="1"/>
    <col min="13588" max="13588" width="20.85546875" style="20" bestFit="1" customWidth="1"/>
    <col min="13589" max="13589" width="19.85546875" style="20" bestFit="1" customWidth="1"/>
    <col min="13590" max="13590" width="12" style="20" bestFit="1" customWidth="1"/>
    <col min="13591" max="13825" width="9.140625" style="20"/>
    <col min="13826" max="13826" width="5.28515625" style="20" customWidth="1"/>
    <col min="13827" max="13828" width="9.5703125" style="20" customWidth="1"/>
    <col min="13829" max="13829" width="7.85546875" style="20" customWidth="1"/>
    <col min="13830" max="13830" width="22.140625" style="20" customWidth="1"/>
    <col min="13831" max="13831" width="8.7109375" style="20" customWidth="1"/>
    <col min="13832" max="13832" width="8.140625" style="20" customWidth="1"/>
    <col min="13833" max="13833" width="13" style="20" customWidth="1"/>
    <col min="13834" max="13834" width="13.5703125" style="20" customWidth="1"/>
    <col min="13835" max="13836" width="13.28515625" style="20" customWidth="1"/>
    <col min="13837" max="13837" width="6.7109375" style="20" customWidth="1"/>
    <col min="13838" max="13838" width="8.140625" style="20" customWidth="1"/>
    <col min="13839" max="13839" width="7.28515625" style="20" customWidth="1"/>
    <col min="13840" max="13840" width="15" style="20" customWidth="1"/>
    <col min="13841" max="13841" width="3.85546875" style="20" customWidth="1"/>
    <col min="13842" max="13842" width="10.85546875" style="20" bestFit="1" customWidth="1"/>
    <col min="13843" max="13843" width="10.5703125" style="20" bestFit="1" customWidth="1"/>
    <col min="13844" max="13844" width="20.85546875" style="20" bestFit="1" customWidth="1"/>
    <col min="13845" max="13845" width="19.85546875" style="20" bestFit="1" customWidth="1"/>
    <col min="13846" max="13846" width="12" style="20" bestFit="1" customWidth="1"/>
    <col min="13847" max="14081" width="9.140625" style="20"/>
    <col min="14082" max="14082" width="5.28515625" style="20" customWidth="1"/>
    <col min="14083" max="14084" width="9.5703125" style="20" customWidth="1"/>
    <col min="14085" max="14085" width="7.85546875" style="20" customWidth="1"/>
    <col min="14086" max="14086" width="22.140625" style="20" customWidth="1"/>
    <col min="14087" max="14087" width="8.7109375" style="20" customWidth="1"/>
    <col min="14088" max="14088" width="8.140625" style="20" customWidth="1"/>
    <col min="14089" max="14089" width="13" style="20" customWidth="1"/>
    <col min="14090" max="14090" width="13.5703125" style="20" customWidth="1"/>
    <col min="14091" max="14092" width="13.28515625" style="20" customWidth="1"/>
    <col min="14093" max="14093" width="6.7109375" style="20" customWidth="1"/>
    <col min="14094" max="14094" width="8.140625" style="20" customWidth="1"/>
    <col min="14095" max="14095" width="7.28515625" style="20" customWidth="1"/>
    <col min="14096" max="14096" width="15" style="20" customWidth="1"/>
    <col min="14097" max="14097" width="3.85546875" style="20" customWidth="1"/>
    <col min="14098" max="14098" width="10.85546875" style="20" bestFit="1" customWidth="1"/>
    <col min="14099" max="14099" width="10.5703125" style="20" bestFit="1" customWidth="1"/>
    <col min="14100" max="14100" width="20.85546875" style="20" bestFit="1" customWidth="1"/>
    <col min="14101" max="14101" width="19.85546875" style="20" bestFit="1" customWidth="1"/>
    <col min="14102" max="14102" width="12" style="20" bestFit="1" customWidth="1"/>
    <col min="14103" max="14337" width="9.140625" style="20"/>
    <col min="14338" max="14338" width="5.28515625" style="20" customWidth="1"/>
    <col min="14339" max="14340" width="9.5703125" style="20" customWidth="1"/>
    <col min="14341" max="14341" width="7.85546875" style="20" customWidth="1"/>
    <col min="14342" max="14342" width="22.140625" style="20" customWidth="1"/>
    <col min="14343" max="14343" width="8.7109375" style="20" customWidth="1"/>
    <col min="14344" max="14344" width="8.140625" style="20" customWidth="1"/>
    <col min="14345" max="14345" width="13" style="20" customWidth="1"/>
    <col min="14346" max="14346" width="13.5703125" style="20" customWidth="1"/>
    <col min="14347" max="14348" width="13.28515625" style="20" customWidth="1"/>
    <col min="14349" max="14349" width="6.7109375" style="20" customWidth="1"/>
    <col min="14350" max="14350" width="8.140625" style="20" customWidth="1"/>
    <col min="14351" max="14351" width="7.28515625" style="20" customWidth="1"/>
    <col min="14352" max="14352" width="15" style="20" customWidth="1"/>
    <col min="14353" max="14353" width="3.85546875" style="20" customWidth="1"/>
    <col min="14354" max="14354" width="10.85546875" style="20" bestFit="1" customWidth="1"/>
    <col min="14355" max="14355" width="10.5703125" style="20" bestFit="1" customWidth="1"/>
    <col min="14356" max="14356" width="20.85546875" style="20" bestFit="1" customWidth="1"/>
    <col min="14357" max="14357" width="19.85546875" style="20" bestFit="1" customWidth="1"/>
    <col min="14358" max="14358" width="12" style="20" bestFit="1" customWidth="1"/>
    <col min="14359" max="14593" width="9.140625" style="20"/>
    <col min="14594" max="14594" width="5.28515625" style="20" customWidth="1"/>
    <col min="14595" max="14596" width="9.5703125" style="20" customWidth="1"/>
    <col min="14597" max="14597" width="7.85546875" style="20" customWidth="1"/>
    <col min="14598" max="14598" width="22.140625" style="20" customWidth="1"/>
    <col min="14599" max="14599" width="8.7109375" style="20" customWidth="1"/>
    <col min="14600" max="14600" width="8.140625" style="20" customWidth="1"/>
    <col min="14601" max="14601" width="13" style="20" customWidth="1"/>
    <col min="14602" max="14602" width="13.5703125" style="20" customWidth="1"/>
    <col min="14603" max="14604" width="13.28515625" style="20" customWidth="1"/>
    <col min="14605" max="14605" width="6.7109375" style="20" customWidth="1"/>
    <col min="14606" max="14606" width="8.140625" style="20" customWidth="1"/>
    <col min="14607" max="14607" width="7.28515625" style="20" customWidth="1"/>
    <col min="14608" max="14608" width="15" style="20" customWidth="1"/>
    <col min="14609" max="14609" width="3.85546875" style="20" customWidth="1"/>
    <col min="14610" max="14610" width="10.85546875" style="20" bestFit="1" customWidth="1"/>
    <col min="14611" max="14611" width="10.5703125" style="20" bestFit="1" customWidth="1"/>
    <col min="14612" max="14612" width="20.85546875" style="20" bestFit="1" customWidth="1"/>
    <col min="14613" max="14613" width="19.85546875" style="20" bestFit="1" customWidth="1"/>
    <col min="14614" max="14614" width="12" style="20" bestFit="1" customWidth="1"/>
    <col min="14615" max="14849" width="9.140625" style="20"/>
    <col min="14850" max="14850" width="5.28515625" style="20" customWidth="1"/>
    <col min="14851" max="14852" width="9.5703125" style="20" customWidth="1"/>
    <col min="14853" max="14853" width="7.85546875" style="20" customWidth="1"/>
    <col min="14854" max="14854" width="22.140625" style="20" customWidth="1"/>
    <col min="14855" max="14855" width="8.7109375" style="20" customWidth="1"/>
    <col min="14856" max="14856" width="8.140625" style="20" customWidth="1"/>
    <col min="14857" max="14857" width="13" style="20" customWidth="1"/>
    <col min="14858" max="14858" width="13.5703125" style="20" customWidth="1"/>
    <col min="14859" max="14860" width="13.28515625" style="20" customWidth="1"/>
    <col min="14861" max="14861" width="6.7109375" style="20" customWidth="1"/>
    <col min="14862" max="14862" width="8.140625" style="20" customWidth="1"/>
    <col min="14863" max="14863" width="7.28515625" style="20" customWidth="1"/>
    <col min="14864" max="14864" width="15" style="20" customWidth="1"/>
    <col min="14865" max="14865" width="3.85546875" style="20" customWidth="1"/>
    <col min="14866" max="14866" width="10.85546875" style="20" bestFit="1" customWidth="1"/>
    <col min="14867" max="14867" width="10.5703125" style="20" bestFit="1" customWidth="1"/>
    <col min="14868" max="14868" width="20.85546875" style="20" bestFit="1" customWidth="1"/>
    <col min="14869" max="14869" width="19.85546875" style="20" bestFit="1" customWidth="1"/>
    <col min="14870" max="14870" width="12" style="20" bestFit="1" customWidth="1"/>
    <col min="14871" max="15105" width="9.140625" style="20"/>
    <col min="15106" max="15106" width="5.28515625" style="20" customWidth="1"/>
    <col min="15107" max="15108" width="9.5703125" style="20" customWidth="1"/>
    <col min="15109" max="15109" width="7.85546875" style="20" customWidth="1"/>
    <col min="15110" max="15110" width="22.140625" style="20" customWidth="1"/>
    <col min="15111" max="15111" width="8.7109375" style="20" customWidth="1"/>
    <col min="15112" max="15112" width="8.140625" style="20" customWidth="1"/>
    <col min="15113" max="15113" width="13" style="20" customWidth="1"/>
    <col min="15114" max="15114" width="13.5703125" style="20" customWidth="1"/>
    <col min="15115" max="15116" width="13.28515625" style="20" customWidth="1"/>
    <col min="15117" max="15117" width="6.7109375" style="20" customWidth="1"/>
    <col min="15118" max="15118" width="8.140625" style="20" customWidth="1"/>
    <col min="15119" max="15119" width="7.28515625" style="20" customWidth="1"/>
    <col min="15120" max="15120" width="15" style="20" customWidth="1"/>
    <col min="15121" max="15121" width="3.85546875" style="20" customWidth="1"/>
    <col min="15122" max="15122" width="10.85546875" style="20" bestFit="1" customWidth="1"/>
    <col min="15123" max="15123" width="10.5703125" style="20" bestFit="1" customWidth="1"/>
    <col min="15124" max="15124" width="20.85546875" style="20" bestFit="1" customWidth="1"/>
    <col min="15125" max="15125" width="19.85546875" style="20" bestFit="1" customWidth="1"/>
    <col min="15126" max="15126" width="12" style="20" bestFit="1" customWidth="1"/>
    <col min="15127" max="15361" width="9.140625" style="20"/>
    <col min="15362" max="15362" width="5.28515625" style="20" customWidth="1"/>
    <col min="15363" max="15364" width="9.5703125" style="20" customWidth="1"/>
    <col min="15365" max="15365" width="7.85546875" style="20" customWidth="1"/>
    <col min="15366" max="15366" width="22.140625" style="20" customWidth="1"/>
    <col min="15367" max="15367" width="8.7109375" style="20" customWidth="1"/>
    <col min="15368" max="15368" width="8.140625" style="20" customWidth="1"/>
    <col min="15369" max="15369" width="13" style="20" customWidth="1"/>
    <col min="15370" max="15370" width="13.5703125" style="20" customWidth="1"/>
    <col min="15371" max="15372" width="13.28515625" style="20" customWidth="1"/>
    <col min="15373" max="15373" width="6.7109375" style="20" customWidth="1"/>
    <col min="15374" max="15374" width="8.140625" style="20" customWidth="1"/>
    <col min="15375" max="15375" width="7.28515625" style="20" customWidth="1"/>
    <col min="15376" max="15376" width="15" style="20" customWidth="1"/>
    <col min="15377" max="15377" width="3.85546875" style="20" customWidth="1"/>
    <col min="15378" max="15378" width="10.85546875" style="20" bestFit="1" customWidth="1"/>
    <col min="15379" max="15379" width="10.5703125" style="20" bestFit="1" customWidth="1"/>
    <col min="15380" max="15380" width="20.85546875" style="20" bestFit="1" customWidth="1"/>
    <col min="15381" max="15381" width="19.85546875" style="20" bestFit="1" customWidth="1"/>
    <col min="15382" max="15382" width="12" style="20" bestFit="1" customWidth="1"/>
    <col min="15383" max="15617" width="9.140625" style="20"/>
    <col min="15618" max="15618" width="5.28515625" style="20" customWidth="1"/>
    <col min="15619" max="15620" width="9.5703125" style="20" customWidth="1"/>
    <col min="15621" max="15621" width="7.85546875" style="20" customWidth="1"/>
    <col min="15622" max="15622" width="22.140625" style="20" customWidth="1"/>
    <col min="15623" max="15623" width="8.7109375" style="20" customWidth="1"/>
    <col min="15624" max="15624" width="8.140625" style="20" customWidth="1"/>
    <col min="15625" max="15625" width="13" style="20" customWidth="1"/>
    <col min="15626" max="15626" width="13.5703125" style="20" customWidth="1"/>
    <col min="15627" max="15628" width="13.28515625" style="20" customWidth="1"/>
    <col min="15629" max="15629" width="6.7109375" style="20" customWidth="1"/>
    <col min="15630" max="15630" width="8.140625" style="20" customWidth="1"/>
    <col min="15631" max="15631" width="7.28515625" style="20" customWidth="1"/>
    <col min="15632" max="15632" width="15" style="20" customWidth="1"/>
    <col min="15633" max="15633" width="3.85546875" style="20" customWidth="1"/>
    <col min="15634" max="15634" width="10.85546875" style="20" bestFit="1" customWidth="1"/>
    <col min="15635" max="15635" width="10.5703125" style="20" bestFit="1" customWidth="1"/>
    <col min="15636" max="15636" width="20.85546875" style="20" bestFit="1" customWidth="1"/>
    <col min="15637" max="15637" width="19.85546875" style="20" bestFit="1" customWidth="1"/>
    <col min="15638" max="15638" width="12" style="20" bestFit="1" customWidth="1"/>
    <col min="15639" max="15873" width="9.140625" style="20"/>
    <col min="15874" max="15874" width="5.28515625" style="20" customWidth="1"/>
    <col min="15875" max="15876" width="9.5703125" style="20" customWidth="1"/>
    <col min="15877" max="15877" width="7.85546875" style="20" customWidth="1"/>
    <col min="15878" max="15878" width="22.140625" style="20" customWidth="1"/>
    <col min="15879" max="15879" width="8.7109375" style="20" customWidth="1"/>
    <col min="15880" max="15880" width="8.140625" style="20" customWidth="1"/>
    <col min="15881" max="15881" width="13" style="20" customWidth="1"/>
    <col min="15882" max="15882" width="13.5703125" style="20" customWidth="1"/>
    <col min="15883" max="15884" width="13.28515625" style="20" customWidth="1"/>
    <col min="15885" max="15885" width="6.7109375" style="20" customWidth="1"/>
    <col min="15886" max="15886" width="8.140625" style="20" customWidth="1"/>
    <col min="15887" max="15887" width="7.28515625" style="20" customWidth="1"/>
    <col min="15888" max="15888" width="15" style="20" customWidth="1"/>
    <col min="15889" max="15889" width="3.85546875" style="20" customWidth="1"/>
    <col min="15890" max="15890" width="10.85546875" style="20" bestFit="1" customWidth="1"/>
    <col min="15891" max="15891" width="10.5703125" style="20" bestFit="1" customWidth="1"/>
    <col min="15892" max="15892" width="20.85546875" style="20" bestFit="1" customWidth="1"/>
    <col min="15893" max="15893" width="19.85546875" style="20" bestFit="1" customWidth="1"/>
    <col min="15894" max="15894" width="12" style="20" bestFit="1" customWidth="1"/>
    <col min="15895" max="16129" width="9.140625" style="20"/>
    <col min="16130" max="16130" width="5.28515625" style="20" customWidth="1"/>
    <col min="16131" max="16132" width="9.5703125" style="20" customWidth="1"/>
    <col min="16133" max="16133" width="7.85546875" style="20" customWidth="1"/>
    <col min="16134" max="16134" width="22.140625" style="20" customWidth="1"/>
    <col min="16135" max="16135" width="8.7109375" style="20" customWidth="1"/>
    <col min="16136" max="16136" width="8.140625" style="20" customWidth="1"/>
    <col min="16137" max="16137" width="13" style="20" customWidth="1"/>
    <col min="16138" max="16138" width="13.5703125" style="20" customWidth="1"/>
    <col min="16139" max="16140" width="13.28515625" style="20" customWidth="1"/>
    <col min="16141" max="16141" width="6.7109375" style="20" customWidth="1"/>
    <col min="16142" max="16142" width="8.140625" style="20" customWidth="1"/>
    <col min="16143" max="16143" width="7.28515625" style="20" customWidth="1"/>
    <col min="16144" max="16144" width="15" style="20" customWidth="1"/>
    <col min="16145" max="16145" width="3.85546875" style="20" customWidth="1"/>
    <col min="16146" max="16146" width="10.85546875" style="20" bestFit="1" customWidth="1"/>
    <col min="16147" max="16147" width="10.5703125" style="20" bestFit="1" customWidth="1"/>
    <col min="16148" max="16148" width="20.85546875" style="20" bestFit="1" customWidth="1"/>
    <col min="16149" max="16149" width="19.85546875" style="20" bestFit="1" customWidth="1"/>
    <col min="16150" max="16150" width="12" style="20" bestFit="1" customWidth="1"/>
    <col min="16151" max="16384" width="9.140625" style="20"/>
  </cols>
  <sheetData>
    <row r="1" spans="1:35" ht="321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5" ht="321.75" customHeight="1" x14ac:dyDescent="0.25">
      <c r="A2" s="16"/>
      <c r="B2" s="20" t="str">
        <f>D2&amp;"-"&amp;G2&amp;"-"&amp;J2</f>
        <v>Scal-Trawl-Len-MF</v>
      </c>
      <c r="D2" s="20" t="s">
        <v>16</v>
      </c>
      <c r="E2" s="16"/>
      <c r="F2" s="16"/>
      <c r="G2" s="20" t="s">
        <v>17</v>
      </c>
      <c r="H2" s="16"/>
      <c r="I2" s="16"/>
      <c r="J2" s="20" t="s">
        <v>18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20">
        <v>1969</v>
      </c>
      <c r="AH2" s="20">
        <v>18</v>
      </c>
      <c r="AI2" s="20">
        <v>2</v>
      </c>
    </row>
    <row r="3" spans="1:35" ht="15" x14ac:dyDescent="0.25">
      <c r="A3" s="21"/>
      <c r="E3" s="16"/>
      <c r="F3" s="16"/>
      <c r="H3" s="16"/>
      <c r="I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23" t="s">
        <v>267</v>
      </c>
      <c r="X3" s="24">
        <v>2795</v>
      </c>
      <c r="Y3" s="16"/>
      <c r="Z3" s="16"/>
      <c r="AA3" s="16"/>
      <c r="AB3" s="16"/>
      <c r="AC3" s="16"/>
      <c r="AD3" s="16"/>
      <c r="AE3" s="16"/>
      <c r="AF3" s="16"/>
    </row>
    <row r="4" spans="1:35" s="16" customFormat="1" ht="15" x14ac:dyDescent="0.25">
      <c r="A4" s="16" t="s">
        <v>2</v>
      </c>
      <c r="B4" s="16" t="s">
        <v>194</v>
      </c>
      <c r="C4" s="16" t="s">
        <v>1</v>
      </c>
      <c r="D4" s="16" t="s">
        <v>202</v>
      </c>
      <c r="E4" s="16" t="s">
        <v>195</v>
      </c>
      <c r="F4" s="16" t="s">
        <v>0</v>
      </c>
      <c r="G4" s="16" t="s">
        <v>90</v>
      </c>
      <c r="H4" s="16" t="s">
        <v>203</v>
      </c>
      <c r="I4" s="16" t="s">
        <v>204</v>
      </c>
      <c r="J4" s="16" t="s">
        <v>12</v>
      </c>
      <c r="K4" s="16" t="s">
        <v>13</v>
      </c>
      <c r="L4" s="16" t="s">
        <v>8</v>
      </c>
      <c r="M4" s="16" t="s">
        <v>177</v>
      </c>
      <c r="N4" s="16" t="s">
        <v>9</v>
      </c>
      <c r="O4" s="16" t="s">
        <v>10</v>
      </c>
      <c r="P4" s="16" t="s">
        <v>11</v>
      </c>
      <c r="Q4" s="16" t="s">
        <v>3</v>
      </c>
      <c r="R4" s="16" t="s">
        <v>4</v>
      </c>
      <c r="S4" s="16" t="s">
        <v>14</v>
      </c>
      <c r="T4" s="16" t="s">
        <v>225</v>
      </c>
      <c r="U4" s="16" t="s">
        <v>226</v>
      </c>
      <c r="V4" s="16" t="s">
        <v>7</v>
      </c>
      <c r="W4" s="16" t="s">
        <v>5</v>
      </c>
      <c r="X4" s="16" t="s">
        <v>77</v>
      </c>
      <c r="Y4" s="16" t="s">
        <v>15</v>
      </c>
      <c r="Z4" s="16" t="s">
        <v>155</v>
      </c>
      <c r="AA4" s="16" t="s">
        <v>154</v>
      </c>
    </row>
    <row r="5" spans="1:35" s="16" customFormat="1" ht="15" x14ac:dyDescent="0.25">
      <c r="A5" s="16">
        <v>1971</v>
      </c>
      <c r="B5" s="16">
        <v>7</v>
      </c>
      <c r="C5" s="16">
        <v>1</v>
      </c>
      <c r="D5" s="16">
        <v>2</v>
      </c>
      <c r="E5" s="16">
        <v>1971.5</v>
      </c>
      <c r="F5" s="16">
        <v>1</v>
      </c>
      <c r="G5" s="16">
        <v>1</v>
      </c>
      <c r="H5" s="16">
        <v>1</v>
      </c>
      <c r="I5" s="16">
        <v>3</v>
      </c>
      <c r="J5" s="16" t="s">
        <v>160</v>
      </c>
      <c r="K5" s="16">
        <v>0</v>
      </c>
      <c r="L5" s="16">
        <v>0</v>
      </c>
      <c r="M5" s="16">
        <v>1</v>
      </c>
      <c r="N5" s="16">
        <v>1</v>
      </c>
      <c r="O5" s="16">
        <v>1</v>
      </c>
      <c r="P5" s="16">
        <v>44</v>
      </c>
      <c r="Q5" s="16">
        <v>3.2000000000000001E-2</v>
      </c>
      <c r="R5" s="16">
        <v>2.68189E-2</v>
      </c>
      <c r="S5" s="16">
        <v>0.35856199999999999</v>
      </c>
      <c r="T5" s="16">
        <v>125</v>
      </c>
      <c r="U5" s="16">
        <v>125</v>
      </c>
      <c r="V5" s="16">
        <v>115.37</v>
      </c>
      <c r="W5" s="16">
        <v>0.70652400000000004</v>
      </c>
      <c r="X5" s="16">
        <v>3.2000000000000001E-2</v>
      </c>
      <c r="Y5" s="16">
        <v>2.68189E-2</v>
      </c>
      <c r="Z5" s="16" t="s">
        <v>89</v>
      </c>
      <c r="AA5" s="16" t="s">
        <v>89</v>
      </c>
    </row>
    <row r="6" spans="1:35" s="16" customFormat="1" ht="15" x14ac:dyDescent="0.25">
      <c r="A6" s="16">
        <v>1971</v>
      </c>
      <c r="B6" s="16">
        <v>7</v>
      </c>
      <c r="C6" s="16">
        <v>1</v>
      </c>
      <c r="D6" s="16">
        <v>2</v>
      </c>
      <c r="E6" s="16">
        <v>1971.5</v>
      </c>
      <c r="F6" s="16">
        <v>1</v>
      </c>
      <c r="G6" s="16">
        <v>1</v>
      </c>
      <c r="H6" s="16">
        <v>1</v>
      </c>
      <c r="I6" s="16">
        <v>3</v>
      </c>
      <c r="J6" s="16" t="s">
        <v>160</v>
      </c>
      <c r="K6" s="16">
        <v>0</v>
      </c>
      <c r="L6" s="16">
        <v>0</v>
      </c>
      <c r="M6" s="16">
        <v>1</v>
      </c>
      <c r="N6" s="16">
        <v>1</v>
      </c>
      <c r="O6" s="16">
        <v>1</v>
      </c>
      <c r="P6" s="16">
        <v>46</v>
      </c>
      <c r="Q6" s="16">
        <v>8.0000799999999997E-3</v>
      </c>
      <c r="R6" s="16">
        <v>9.2401700000000007E-3</v>
      </c>
      <c r="S6" s="16">
        <v>-0.14490500000000001</v>
      </c>
      <c r="T6" s="16">
        <v>125</v>
      </c>
      <c r="U6" s="16">
        <v>125</v>
      </c>
      <c r="V6" s="16">
        <v>115.37</v>
      </c>
      <c r="W6" s="16">
        <v>-0.14410999999999999</v>
      </c>
      <c r="X6" s="16">
        <v>4.0000099999999997E-2</v>
      </c>
      <c r="Y6" s="16">
        <v>3.6059000000000001E-2</v>
      </c>
      <c r="Z6" s="16" t="s">
        <v>89</v>
      </c>
      <c r="AA6" s="16" t="s">
        <v>89</v>
      </c>
    </row>
    <row r="7" spans="1:35" s="16" customFormat="1" ht="15" x14ac:dyDescent="0.25">
      <c r="A7" s="16">
        <v>1971</v>
      </c>
      <c r="B7" s="16">
        <v>7</v>
      </c>
      <c r="C7" s="16">
        <v>1</v>
      </c>
      <c r="D7" s="16">
        <v>2</v>
      </c>
      <c r="E7" s="16">
        <v>1971.5</v>
      </c>
      <c r="F7" s="16">
        <v>1</v>
      </c>
      <c r="G7" s="16">
        <v>1</v>
      </c>
      <c r="H7" s="16">
        <v>1</v>
      </c>
      <c r="I7" s="16">
        <v>3</v>
      </c>
      <c r="J7" s="16" t="s">
        <v>160</v>
      </c>
      <c r="K7" s="16">
        <v>0</v>
      </c>
      <c r="L7" s="16">
        <v>0</v>
      </c>
      <c r="M7" s="16">
        <v>1</v>
      </c>
      <c r="N7" s="16">
        <v>1</v>
      </c>
      <c r="O7" s="16">
        <v>1</v>
      </c>
      <c r="P7" s="16">
        <v>48</v>
      </c>
      <c r="Q7" s="16">
        <v>8.0000799999999997E-3</v>
      </c>
      <c r="R7" s="16">
        <v>1.18738E-2</v>
      </c>
      <c r="S7" s="16">
        <v>-0.39983200000000002</v>
      </c>
      <c r="T7" s="16">
        <v>125</v>
      </c>
      <c r="U7" s="16">
        <v>125</v>
      </c>
      <c r="V7" s="16">
        <v>115.37</v>
      </c>
      <c r="W7" s="16">
        <v>-0.39488299999999998</v>
      </c>
      <c r="X7" s="16">
        <v>4.80002E-2</v>
      </c>
      <c r="Y7" s="16">
        <v>4.7932799999999998E-2</v>
      </c>
      <c r="Z7" s="16" t="s">
        <v>89</v>
      </c>
      <c r="AA7" s="16" t="s">
        <v>89</v>
      </c>
    </row>
    <row r="8" spans="1:35" s="16" customFormat="1" ht="15" x14ac:dyDescent="0.25">
      <c r="A8" s="16">
        <v>1971</v>
      </c>
      <c r="B8" s="16">
        <v>7</v>
      </c>
      <c r="C8" s="16">
        <v>1</v>
      </c>
      <c r="D8" s="16">
        <v>2</v>
      </c>
      <c r="E8" s="16">
        <v>1971.5</v>
      </c>
      <c r="F8" s="16">
        <v>1</v>
      </c>
      <c r="G8" s="16">
        <v>1</v>
      </c>
      <c r="H8" s="16">
        <v>1</v>
      </c>
      <c r="I8" s="16">
        <v>3</v>
      </c>
      <c r="J8" s="16" t="s">
        <v>160</v>
      </c>
      <c r="K8" s="16">
        <v>0</v>
      </c>
      <c r="L8" s="16">
        <v>0</v>
      </c>
      <c r="M8" s="16">
        <v>1</v>
      </c>
      <c r="N8" s="16">
        <v>1</v>
      </c>
      <c r="O8" s="16">
        <v>1</v>
      </c>
      <c r="P8" s="16">
        <v>50</v>
      </c>
      <c r="Q8" s="16">
        <v>1.60001E-2</v>
      </c>
      <c r="R8" s="16">
        <v>1.49823E-2</v>
      </c>
      <c r="S8" s="16">
        <v>9.36665E-2</v>
      </c>
      <c r="T8" s="16">
        <v>125</v>
      </c>
      <c r="U8" s="16">
        <v>125</v>
      </c>
      <c r="V8" s="16">
        <v>115.37</v>
      </c>
      <c r="W8" s="16">
        <v>0.13144500000000001</v>
      </c>
      <c r="X8" s="16">
        <v>6.4000199999999993E-2</v>
      </c>
      <c r="Y8" s="16">
        <v>6.2915100000000002E-2</v>
      </c>
      <c r="Z8" s="16" t="s">
        <v>89</v>
      </c>
      <c r="AA8" s="16" t="s">
        <v>89</v>
      </c>
    </row>
    <row r="9" spans="1:35" s="16" customFormat="1" ht="15" x14ac:dyDescent="0.25">
      <c r="A9" s="16">
        <v>1971</v>
      </c>
      <c r="B9" s="16">
        <v>7</v>
      </c>
      <c r="C9" s="16">
        <v>1</v>
      </c>
      <c r="D9" s="16">
        <v>2</v>
      </c>
      <c r="E9" s="16">
        <v>1971.5</v>
      </c>
      <c r="F9" s="16">
        <v>1</v>
      </c>
      <c r="G9" s="16">
        <v>1</v>
      </c>
      <c r="H9" s="16">
        <v>1</v>
      </c>
      <c r="I9" s="16">
        <v>3</v>
      </c>
      <c r="J9" s="16" t="s">
        <v>160</v>
      </c>
      <c r="K9" s="16">
        <v>0</v>
      </c>
      <c r="L9" s="16">
        <v>0</v>
      </c>
      <c r="M9" s="16">
        <v>1</v>
      </c>
      <c r="N9" s="16">
        <v>1</v>
      </c>
      <c r="O9" s="16">
        <v>1</v>
      </c>
      <c r="P9" s="16">
        <v>52</v>
      </c>
      <c r="Q9" s="16">
        <v>3.2000000000000001E-2</v>
      </c>
      <c r="R9" s="16">
        <v>1.8536400000000001E-2</v>
      </c>
      <c r="S9" s="16">
        <v>1.1160099999999999</v>
      </c>
      <c r="T9" s="16">
        <v>125</v>
      </c>
      <c r="U9" s="16">
        <v>125</v>
      </c>
      <c r="V9" s="16">
        <v>115.37</v>
      </c>
      <c r="W9" s="16">
        <v>2.1840099999999998</v>
      </c>
      <c r="X9" s="16">
        <v>9.6000199999999994E-2</v>
      </c>
      <c r="Y9" s="16">
        <v>8.1451399999999993E-2</v>
      </c>
      <c r="Z9" s="16" t="s">
        <v>89</v>
      </c>
      <c r="AA9" s="16" t="s">
        <v>89</v>
      </c>
    </row>
    <row r="10" spans="1:35" s="16" customFormat="1" ht="15" x14ac:dyDescent="0.25">
      <c r="A10" s="16">
        <v>1971</v>
      </c>
      <c r="B10" s="16">
        <v>7</v>
      </c>
      <c r="C10" s="16">
        <v>1</v>
      </c>
      <c r="D10" s="16">
        <v>2</v>
      </c>
      <c r="E10" s="16">
        <v>1971.5</v>
      </c>
      <c r="F10" s="16">
        <v>1</v>
      </c>
      <c r="G10" s="16">
        <v>1</v>
      </c>
      <c r="H10" s="16">
        <v>1</v>
      </c>
      <c r="I10" s="16">
        <v>3</v>
      </c>
      <c r="J10" s="16" t="s">
        <v>160</v>
      </c>
      <c r="K10" s="16">
        <v>0</v>
      </c>
      <c r="L10" s="16">
        <v>0</v>
      </c>
      <c r="M10" s="16">
        <v>1</v>
      </c>
      <c r="N10" s="16">
        <v>1</v>
      </c>
      <c r="O10" s="16">
        <v>1</v>
      </c>
      <c r="P10" s="16">
        <v>54</v>
      </c>
      <c r="Q10" s="16">
        <v>8.0000799999999997E-3</v>
      </c>
      <c r="R10" s="16">
        <v>2.2451499999999999E-2</v>
      </c>
      <c r="S10" s="16">
        <v>-1.0906199999999999</v>
      </c>
      <c r="T10" s="16">
        <v>125</v>
      </c>
      <c r="U10" s="16">
        <v>125</v>
      </c>
      <c r="V10" s="16">
        <v>115.37</v>
      </c>
      <c r="W10" s="16">
        <v>-1.0319199999999999</v>
      </c>
      <c r="X10" s="16">
        <v>0.104</v>
      </c>
      <c r="Y10" s="16">
        <v>0.103903</v>
      </c>
      <c r="Z10" s="16" t="s">
        <v>89</v>
      </c>
      <c r="AA10" s="16" t="s">
        <v>89</v>
      </c>
    </row>
    <row r="11" spans="1:35" ht="15" x14ac:dyDescent="0.25">
      <c r="A11" s="16">
        <v>1971</v>
      </c>
      <c r="B11" s="16">
        <v>7</v>
      </c>
      <c r="C11" s="16">
        <v>1</v>
      </c>
      <c r="D11" s="16">
        <v>2</v>
      </c>
      <c r="E11" s="16">
        <v>1971.5</v>
      </c>
      <c r="F11" s="16">
        <v>1</v>
      </c>
      <c r="G11" s="16">
        <v>1</v>
      </c>
      <c r="H11" s="16">
        <v>1</v>
      </c>
      <c r="I11" s="16">
        <v>3</v>
      </c>
      <c r="J11" s="16" t="s">
        <v>160</v>
      </c>
      <c r="K11" s="16">
        <v>0</v>
      </c>
      <c r="L11" s="16">
        <v>0</v>
      </c>
      <c r="M11" s="16">
        <v>1</v>
      </c>
      <c r="N11" s="16">
        <v>1</v>
      </c>
      <c r="O11" s="16">
        <v>1</v>
      </c>
      <c r="P11" s="16">
        <v>56</v>
      </c>
      <c r="Q11" s="16">
        <v>0.04</v>
      </c>
      <c r="R11" s="16">
        <v>2.6580099999999999E-2</v>
      </c>
      <c r="S11" s="16">
        <v>0.93277399999999999</v>
      </c>
      <c r="T11" s="16">
        <v>125</v>
      </c>
      <c r="U11" s="16">
        <v>125</v>
      </c>
      <c r="V11" s="16">
        <v>115.37</v>
      </c>
      <c r="W11" s="16">
        <v>2.04359</v>
      </c>
      <c r="X11" s="16">
        <v>0.14399999999999999</v>
      </c>
      <c r="Y11" s="16">
        <v>0.13048299999999999</v>
      </c>
      <c r="Z11" s="16" t="s">
        <v>89</v>
      </c>
      <c r="AA11" s="16" t="s">
        <v>89</v>
      </c>
    </row>
    <row r="12" spans="1:35" ht="15" x14ac:dyDescent="0.25">
      <c r="A12" s="16">
        <v>1971</v>
      </c>
      <c r="B12" s="16">
        <v>7</v>
      </c>
      <c r="C12" s="16">
        <v>1</v>
      </c>
      <c r="D12" s="16">
        <v>2</v>
      </c>
      <c r="E12" s="16">
        <v>1971.5</v>
      </c>
      <c r="F12" s="16">
        <v>1</v>
      </c>
      <c r="G12" s="16">
        <v>1</v>
      </c>
      <c r="H12" s="16">
        <v>1</v>
      </c>
      <c r="I12" s="16">
        <v>3</v>
      </c>
      <c r="J12" s="16" t="s">
        <v>160</v>
      </c>
      <c r="K12" s="16">
        <v>0</v>
      </c>
      <c r="L12" s="16">
        <v>0</v>
      </c>
      <c r="M12" s="16">
        <v>1</v>
      </c>
      <c r="N12" s="16">
        <v>1</v>
      </c>
      <c r="O12" s="16">
        <v>1</v>
      </c>
      <c r="P12" s="16">
        <v>58</v>
      </c>
      <c r="Q12" s="16">
        <v>4.8000000000000001E-2</v>
      </c>
      <c r="R12" s="16">
        <v>3.0699000000000001E-2</v>
      </c>
      <c r="S12" s="16">
        <v>1.1213299999999999</v>
      </c>
      <c r="T12" s="16">
        <v>125</v>
      </c>
      <c r="U12" s="16">
        <v>125</v>
      </c>
      <c r="V12" s="16">
        <v>115.37</v>
      </c>
      <c r="W12" s="16">
        <v>2.6818200000000001</v>
      </c>
      <c r="X12" s="16">
        <v>0.192</v>
      </c>
      <c r="Y12" s="16">
        <v>0.16118199999999999</v>
      </c>
      <c r="Z12" s="16" t="s">
        <v>89</v>
      </c>
      <c r="AA12" s="16" t="s">
        <v>89</v>
      </c>
    </row>
    <row r="13" spans="1:35" ht="15" x14ac:dyDescent="0.25">
      <c r="A13" s="16">
        <v>1971</v>
      </c>
      <c r="B13" s="16">
        <v>7</v>
      </c>
      <c r="C13" s="16">
        <v>1</v>
      </c>
      <c r="D13" s="16">
        <v>2</v>
      </c>
      <c r="E13" s="16">
        <v>1971.5</v>
      </c>
      <c r="F13" s="16">
        <v>1</v>
      </c>
      <c r="G13" s="16">
        <v>1</v>
      </c>
      <c r="H13" s="16">
        <v>1</v>
      </c>
      <c r="I13" s="16">
        <v>3</v>
      </c>
      <c r="J13" s="16" t="s">
        <v>160</v>
      </c>
      <c r="K13" s="16">
        <v>0</v>
      </c>
      <c r="L13" s="16">
        <v>0</v>
      </c>
      <c r="M13" s="16">
        <v>1</v>
      </c>
      <c r="N13" s="16">
        <v>1</v>
      </c>
      <c r="O13" s="16">
        <v>1</v>
      </c>
      <c r="P13" s="16">
        <v>60</v>
      </c>
      <c r="Q13" s="16">
        <v>1.60001E-2</v>
      </c>
      <c r="R13" s="16">
        <v>3.4497300000000002E-2</v>
      </c>
      <c r="S13" s="16">
        <v>-1.13317</v>
      </c>
      <c r="T13" s="16">
        <v>125</v>
      </c>
      <c r="U13" s="16">
        <v>125</v>
      </c>
      <c r="V13" s="16">
        <v>115.37</v>
      </c>
      <c r="W13" s="16">
        <v>-1.5365899999999999</v>
      </c>
      <c r="X13" s="16">
        <v>0.20799999999999999</v>
      </c>
      <c r="Y13" s="16">
        <v>0.19567899999999999</v>
      </c>
      <c r="Z13" s="16" t="s">
        <v>89</v>
      </c>
      <c r="AA13" s="16" t="s">
        <v>89</v>
      </c>
    </row>
    <row r="14" spans="1:35" ht="15" x14ac:dyDescent="0.25">
      <c r="A14" s="16">
        <v>1971</v>
      </c>
      <c r="B14" s="16">
        <v>7</v>
      </c>
      <c r="C14" s="16">
        <v>1</v>
      </c>
      <c r="D14" s="16">
        <v>2</v>
      </c>
      <c r="E14" s="16">
        <v>1971.5</v>
      </c>
      <c r="F14" s="16">
        <v>1</v>
      </c>
      <c r="G14" s="16">
        <v>1</v>
      </c>
      <c r="H14" s="16">
        <v>1</v>
      </c>
      <c r="I14" s="16">
        <v>3</v>
      </c>
      <c r="J14" s="16" t="s">
        <v>160</v>
      </c>
      <c r="K14" s="16">
        <v>0</v>
      </c>
      <c r="L14" s="16">
        <v>0</v>
      </c>
      <c r="M14" s="16">
        <v>1</v>
      </c>
      <c r="N14" s="16">
        <v>1</v>
      </c>
      <c r="O14" s="16">
        <v>1</v>
      </c>
      <c r="P14" s="16">
        <v>62</v>
      </c>
      <c r="Q14" s="16">
        <v>2.4E-2</v>
      </c>
      <c r="R14" s="16">
        <v>3.7582299999999999E-2</v>
      </c>
      <c r="S14" s="16">
        <v>-0.79845999999999995</v>
      </c>
      <c r="T14" s="16">
        <v>125</v>
      </c>
      <c r="U14" s="16">
        <v>125</v>
      </c>
      <c r="V14" s="16">
        <v>115.37</v>
      </c>
      <c r="W14" s="16">
        <v>-1.3454299999999999</v>
      </c>
      <c r="X14" s="16">
        <v>0.23200000000000001</v>
      </c>
      <c r="Y14" s="16">
        <v>0.233262</v>
      </c>
      <c r="Z14" s="16" t="s">
        <v>89</v>
      </c>
      <c r="AA14" s="16" t="s">
        <v>89</v>
      </c>
    </row>
    <row r="15" spans="1:35" ht="15" x14ac:dyDescent="0.25">
      <c r="A15" s="16">
        <v>1971</v>
      </c>
      <c r="B15" s="16">
        <v>7</v>
      </c>
      <c r="C15" s="16">
        <v>1</v>
      </c>
      <c r="D15" s="16">
        <v>2</v>
      </c>
      <c r="E15" s="16">
        <v>1971.5</v>
      </c>
      <c r="F15" s="16">
        <v>1</v>
      </c>
      <c r="G15" s="16">
        <v>1</v>
      </c>
      <c r="H15" s="16">
        <v>1</v>
      </c>
      <c r="I15" s="16">
        <v>3</v>
      </c>
      <c r="J15" s="16" t="s">
        <v>160</v>
      </c>
      <c r="K15" s="16">
        <v>0</v>
      </c>
      <c r="L15" s="16">
        <v>0</v>
      </c>
      <c r="M15" s="16">
        <v>1</v>
      </c>
      <c r="N15" s="16">
        <v>1</v>
      </c>
      <c r="O15" s="16">
        <v>1</v>
      </c>
      <c r="P15" s="16">
        <v>64</v>
      </c>
      <c r="Q15" s="16">
        <v>8.7999800000000003E-2</v>
      </c>
      <c r="R15" s="16">
        <v>7.9451800000000003E-2</v>
      </c>
      <c r="S15" s="16">
        <v>0.35338199999999997</v>
      </c>
      <c r="T15" s="16">
        <v>125</v>
      </c>
      <c r="U15" s="16">
        <v>125</v>
      </c>
      <c r="V15" s="16">
        <v>115.37</v>
      </c>
      <c r="W15" s="16">
        <v>1.12402</v>
      </c>
      <c r="X15" s="16">
        <v>0.32</v>
      </c>
      <c r="Y15" s="16">
        <v>0.31271300000000002</v>
      </c>
      <c r="Z15" s="16" t="s">
        <v>89</v>
      </c>
      <c r="AA15" s="16" t="s">
        <v>89</v>
      </c>
    </row>
    <row r="16" spans="1:35" ht="15" x14ac:dyDescent="0.25">
      <c r="A16" s="16">
        <v>1971</v>
      </c>
      <c r="B16" s="16">
        <v>7</v>
      </c>
      <c r="C16" s="16">
        <v>1</v>
      </c>
      <c r="D16" s="16">
        <v>2</v>
      </c>
      <c r="E16" s="16">
        <v>1971.5</v>
      </c>
      <c r="F16" s="16">
        <v>1</v>
      </c>
      <c r="G16" s="16">
        <v>1</v>
      </c>
      <c r="H16" s="16">
        <v>1</v>
      </c>
      <c r="I16" s="16">
        <v>3</v>
      </c>
      <c r="J16" s="16" t="s">
        <v>160</v>
      </c>
      <c r="K16" s="16">
        <v>0</v>
      </c>
      <c r="L16" s="16">
        <v>0</v>
      </c>
      <c r="M16" s="16">
        <v>1</v>
      </c>
      <c r="N16" s="16">
        <v>1</v>
      </c>
      <c r="O16" s="16">
        <v>1</v>
      </c>
      <c r="P16" s="16">
        <v>68</v>
      </c>
      <c r="Q16" s="16">
        <v>6.3999899999999998E-2</v>
      </c>
      <c r="R16" s="16">
        <v>7.4055399999999993E-2</v>
      </c>
      <c r="S16" s="16">
        <v>-0.42932799999999999</v>
      </c>
      <c r="T16" s="16">
        <v>125</v>
      </c>
      <c r="U16" s="16">
        <v>125</v>
      </c>
      <c r="V16" s="16">
        <v>115.37</v>
      </c>
      <c r="W16" s="16">
        <v>-1.1674599999999999</v>
      </c>
      <c r="X16" s="16">
        <v>0.38400000000000001</v>
      </c>
      <c r="Y16" s="16">
        <v>0.38676899999999997</v>
      </c>
      <c r="Z16" s="16" t="s">
        <v>89</v>
      </c>
      <c r="AA16" s="16" t="s">
        <v>89</v>
      </c>
    </row>
    <row r="17" spans="1:27" ht="15" x14ac:dyDescent="0.25">
      <c r="A17" s="16">
        <v>1971</v>
      </c>
      <c r="B17" s="16">
        <v>7</v>
      </c>
      <c r="C17" s="16">
        <v>1</v>
      </c>
      <c r="D17" s="16">
        <v>2</v>
      </c>
      <c r="E17" s="16">
        <v>1971.5</v>
      </c>
      <c r="F17" s="16">
        <v>1</v>
      </c>
      <c r="G17" s="16">
        <v>1</v>
      </c>
      <c r="H17" s="16">
        <v>1</v>
      </c>
      <c r="I17" s="16">
        <v>3</v>
      </c>
      <c r="J17" s="16" t="s">
        <v>160</v>
      </c>
      <c r="K17" s="16">
        <v>0</v>
      </c>
      <c r="L17" s="16">
        <v>0</v>
      </c>
      <c r="M17" s="16">
        <v>1</v>
      </c>
      <c r="N17" s="16">
        <v>1</v>
      </c>
      <c r="O17" s="16">
        <v>1</v>
      </c>
      <c r="P17" s="16">
        <v>72</v>
      </c>
      <c r="Q17" s="16">
        <v>3.2000000000000001E-2</v>
      </c>
      <c r="R17" s="16">
        <v>5.6447200000000003E-2</v>
      </c>
      <c r="S17" s="16">
        <v>-1.18435</v>
      </c>
      <c r="T17" s="16">
        <v>125</v>
      </c>
      <c r="U17" s="16">
        <v>125</v>
      </c>
      <c r="V17" s="16">
        <v>115.37</v>
      </c>
      <c r="W17" s="16">
        <v>-2.2702800000000001</v>
      </c>
      <c r="X17" s="16">
        <v>0.41599999999999998</v>
      </c>
      <c r="Y17" s="16">
        <v>0.443216</v>
      </c>
      <c r="Z17" s="16" t="s">
        <v>89</v>
      </c>
      <c r="AA17" s="16" t="s">
        <v>89</v>
      </c>
    </row>
    <row r="18" spans="1:27" ht="15" x14ac:dyDescent="0.25">
      <c r="A18" s="16">
        <v>1971</v>
      </c>
      <c r="B18" s="16">
        <v>7</v>
      </c>
      <c r="C18" s="16">
        <v>1</v>
      </c>
      <c r="D18" s="16">
        <v>2</v>
      </c>
      <c r="E18" s="16">
        <v>1971.5</v>
      </c>
      <c r="F18" s="16">
        <v>1</v>
      </c>
      <c r="G18" s="16">
        <v>1</v>
      </c>
      <c r="H18" s="16">
        <v>1</v>
      </c>
      <c r="I18" s="16">
        <v>3</v>
      </c>
      <c r="J18" s="16" t="s">
        <v>160</v>
      </c>
      <c r="K18" s="16">
        <v>0</v>
      </c>
      <c r="L18" s="16">
        <v>0</v>
      </c>
      <c r="M18" s="16">
        <v>1</v>
      </c>
      <c r="N18" s="16">
        <v>1</v>
      </c>
      <c r="O18" s="16">
        <v>1</v>
      </c>
      <c r="P18" s="16">
        <v>76</v>
      </c>
      <c r="Q18" s="16">
        <v>0.04</v>
      </c>
      <c r="R18" s="16">
        <v>5.8613999999999999E-2</v>
      </c>
      <c r="S18" s="16">
        <v>-0.88595199999999996</v>
      </c>
      <c r="T18" s="16">
        <v>125</v>
      </c>
      <c r="U18" s="16">
        <v>125</v>
      </c>
      <c r="V18" s="16">
        <v>115.37</v>
      </c>
      <c r="W18" s="16">
        <v>-1.9104699999999999</v>
      </c>
      <c r="X18" s="16">
        <v>0.45600000000000002</v>
      </c>
      <c r="Y18" s="16">
        <v>0.50183</v>
      </c>
      <c r="Z18" s="16" t="s">
        <v>89</v>
      </c>
      <c r="AA18" s="16" t="s">
        <v>89</v>
      </c>
    </row>
    <row r="19" spans="1:27" ht="15" x14ac:dyDescent="0.25">
      <c r="A19" s="16">
        <v>1971</v>
      </c>
      <c r="B19" s="16">
        <v>7</v>
      </c>
      <c r="C19" s="16">
        <v>1</v>
      </c>
      <c r="D19" s="16">
        <v>2</v>
      </c>
      <c r="E19" s="16">
        <v>1971.5</v>
      </c>
      <c r="F19" s="16">
        <v>1</v>
      </c>
      <c r="G19" s="16">
        <v>1</v>
      </c>
      <c r="H19" s="16">
        <v>1</v>
      </c>
      <c r="I19" s="16">
        <v>3</v>
      </c>
      <c r="J19" s="16" t="s">
        <v>160</v>
      </c>
      <c r="K19" s="16">
        <v>0</v>
      </c>
      <c r="L19" s="16">
        <v>0</v>
      </c>
      <c r="M19" s="16">
        <v>1</v>
      </c>
      <c r="N19" s="16">
        <v>1</v>
      </c>
      <c r="O19" s="16">
        <v>1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ht="15" x14ac:dyDescent="0.25">
      <c r="A20" s="16">
        <v>1971</v>
      </c>
      <c r="B20" s="16">
        <v>7</v>
      </c>
      <c r="C20" s="16">
        <v>1</v>
      </c>
      <c r="D20" s="16">
        <v>2</v>
      </c>
      <c r="E20" s="16">
        <v>1971.5</v>
      </c>
      <c r="F20" s="16">
        <v>1</v>
      </c>
      <c r="G20" s="16">
        <v>1</v>
      </c>
      <c r="H20" s="16">
        <v>1</v>
      </c>
      <c r="I20" s="16">
        <v>3</v>
      </c>
      <c r="J20" s="16" t="s">
        <v>160</v>
      </c>
      <c r="K20" s="16">
        <v>0</v>
      </c>
      <c r="L20" s="16">
        <v>0</v>
      </c>
      <c r="M20" s="16">
        <v>2</v>
      </c>
      <c r="N20" s="16">
        <v>1</v>
      </c>
      <c r="O20" s="16">
        <v>43</v>
      </c>
      <c r="P20" s="16">
        <v>42</v>
      </c>
      <c r="Q20" s="16">
        <v>8.0000799999999997E-3</v>
      </c>
      <c r="R20" s="16">
        <v>1.9537200000000001E-2</v>
      </c>
      <c r="S20" s="16">
        <v>-0.931979</v>
      </c>
      <c r="T20" s="16">
        <v>125</v>
      </c>
      <c r="U20" s="16">
        <v>125</v>
      </c>
      <c r="V20" s="16">
        <v>115.37</v>
      </c>
      <c r="W20" s="16">
        <v>-0.89287899999999998</v>
      </c>
      <c r="X20" s="16">
        <v>0.46400000000000002</v>
      </c>
      <c r="Y20" s="16">
        <v>0.52136700000000002</v>
      </c>
      <c r="Z20" s="16" t="s">
        <v>89</v>
      </c>
      <c r="AA20" s="16" t="s">
        <v>89</v>
      </c>
    </row>
    <row r="21" spans="1:27" ht="15" x14ac:dyDescent="0.25">
      <c r="A21" s="16">
        <v>1971</v>
      </c>
      <c r="B21" s="16">
        <v>7</v>
      </c>
      <c r="C21" s="16">
        <v>1</v>
      </c>
      <c r="D21" s="16">
        <v>2</v>
      </c>
      <c r="E21" s="16">
        <v>1971.5</v>
      </c>
      <c r="F21" s="16">
        <v>1</v>
      </c>
      <c r="G21" s="16">
        <v>1</v>
      </c>
      <c r="H21" s="16">
        <v>1</v>
      </c>
      <c r="I21" s="16">
        <v>3</v>
      </c>
      <c r="J21" s="16" t="s">
        <v>160</v>
      </c>
      <c r="K21" s="16">
        <v>0</v>
      </c>
      <c r="L21" s="16">
        <v>0</v>
      </c>
      <c r="M21" s="16">
        <v>2</v>
      </c>
      <c r="N21" s="16">
        <v>1</v>
      </c>
      <c r="O21" s="16">
        <v>43</v>
      </c>
      <c r="P21" s="16">
        <v>44</v>
      </c>
      <c r="Q21" s="16">
        <v>9.9999700000000006E-8</v>
      </c>
      <c r="R21" s="16">
        <v>7.1832700000000003E-3</v>
      </c>
      <c r="S21" s="16">
        <v>-0.95098899999999997</v>
      </c>
      <c r="T21" s="16">
        <v>125</v>
      </c>
      <c r="U21" s="16">
        <v>125</v>
      </c>
      <c r="V21" s="16">
        <v>115.37</v>
      </c>
      <c r="W21" s="16">
        <v>-1.3977600000000001E-4</v>
      </c>
      <c r="X21" s="16">
        <v>0.46400000000000002</v>
      </c>
      <c r="Y21" s="16">
        <v>0.52855099999999999</v>
      </c>
      <c r="Z21" s="16" t="s">
        <v>89</v>
      </c>
      <c r="AA21" s="16" t="s">
        <v>89</v>
      </c>
    </row>
    <row r="22" spans="1:27" ht="15" x14ac:dyDescent="0.25">
      <c r="A22" s="16">
        <v>1971</v>
      </c>
      <c r="B22" s="16">
        <v>7</v>
      </c>
      <c r="C22" s="16">
        <v>1</v>
      </c>
      <c r="D22" s="16">
        <v>2</v>
      </c>
      <c r="E22" s="16">
        <v>1971.5</v>
      </c>
      <c r="F22" s="16">
        <v>1</v>
      </c>
      <c r="G22" s="16">
        <v>1</v>
      </c>
      <c r="H22" s="16">
        <v>1</v>
      </c>
      <c r="I22" s="16">
        <v>3</v>
      </c>
      <c r="J22" s="16" t="s">
        <v>160</v>
      </c>
      <c r="K22" s="16">
        <v>0</v>
      </c>
      <c r="L22" s="16">
        <v>0</v>
      </c>
      <c r="M22" s="16">
        <v>2</v>
      </c>
      <c r="N22" s="16">
        <v>1</v>
      </c>
      <c r="O22" s="16">
        <v>43</v>
      </c>
      <c r="P22" s="16">
        <v>46</v>
      </c>
      <c r="Q22" s="16">
        <v>8.0000799999999997E-3</v>
      </c>
      <c r="R22" s="16">
        <v>9.4773800000000005E-3</v>
      </c>
      <c r="S22" s="16">
        <v>-0.17047000000000001</v>
      </c>
      <c r="T22" s="16">
        <v>125</v>
      </c>
      <c r="U22" s="16">
        <v>125</v>
      </c>
      <c r="V22" s="16">
        <v>115.37</v>
      </c>
      <c r="W22" s="16">
        <v>-0.169458</v>
      </c>
      <c r="X22" s="16">
        <v>0.47199999999999998</v>
      </c>
      <c r="Y22" s="16">
        <v>0.53802799999999995</v>
      </c>
      <c r="Z22" s="16" t="s">
        <v>89</v>
      </c>
      <c r="AA22" s="16" t="s">
        <v>89</v>
      </c>
    </row>
    <row r="23" spans="1:27" ht="15" x14ac:dyDescent="0.25">
      <c r="A23" s="16">
        <v>1971</v>
      </c>
      <c r="B23" s="16">
        <v>7</v>
      </c>
      <c r="C23" s="16">
        <v>1</v>
      </c>
      <c r="D23" s="16">
        <v>2</v>
      </c>
      <c r="E23" s="16">
        <v>1971.5</v>
      </c>
      <c r="F23" s="16">
        <v>1</v>
      </c>
      <c r="G23" s="16">
        <v>1</v>
      </c>
      <c r="H23" s="16">
        <v>1</v>
      </c>
      <c r="I23" s="16">
        <v>3</v>
      </c>
      <c r="J23" s="16" t="s">
        <v>160</v>
      </c>
      <c r="K23" s="16">
        <v>0</v>
      </c>
      <c r="L23" s="16">
        <v>0</v>
      </c>
      <c r="M23" s="16">
        <v>2</v>
      </c>
      <c r="N23" s="16">
        <v>1</v>
      </c>
      <c r="O23" s="16">
        <v>43</v>
      </c>
      <c r="P23" s="16">
        <v>48</v>
      </c>
      <c r="Q23" s="16">
        <v>2.4E-2</v>
      </c>
      <c r="R23" s="16">
        <v>1.2333500000000001E-2</v>
      </c>
      <c r="S23" s="16">
        <v>1.18181</v>
      </c>
      <c r="T23" s="16">
        <v>125</v>
      </c>
      <c r="U23" s="16">
        <v>125</v>
      </c>
      <c r="V23" s="16">
        <v>115.37</v>
      </c>
      <c r="W23" s="16">
        <v>1.9972099999999999</v>
      </c>
      <c r="X23" s="16">
        <v>0.496</v>
      </c>
      <c r="Y23" s="16">
        <v>0.55036099999999999</v>
      </c>
      <c r="Z23" s="16" t="s">
        <v>89</v>
      </c>
      <c r="AA23" s="16" t="s">
        <v>89</v>
      </c>
    </row>
    <row r="24" spans="1:27" ht="15" x14ac:dyDescent="0.25">
      <c r="A24" s="16">
        <v>1971</v>
      </c>
      <c r="B24" s="16">
        <v>7</v>
      </c>
      <c r="C24" s="16">
        <v>1</v>
      </c>
      <c r="D24" s="16">
        <v>2</v>
      </c>
      <c r="E24" s="16">
        <v>1971.5</v>
      </c>
      <c r="F24" s="16">
        <v>1</v>
      </c>
      <c r="G24" s="16">
        <v>1</v>
      </c>
      <c r="H24" s="16">
        <v>1</v>
      </c>
      <c r="I24" s="16">
        <v>3</v>
      </c>
      <c r="J24" s="16" t="s">
        <v>160</v>
      </c>
      <c r="K24" s="16">
        <v>0</v>
      </c>
      <c r="L24" s="16">
        <v>0</v>
      </c>
      <c r="M24" s="16">
        <v>2</v>
      </c>
      <c r="N24" s="16">
        <v>1</v>
      </c>
      <c r="O24" s="16">
        <v>43</v>
      </c>
      <c r="P24" s="16">
        <v>50</v>
      </c>
      <c r="Q24" s="16">
        <v>9.9999700000000006E-8</v>
      </c>
      <c r="R24" s="16">
        <v>1.5786399999999999E-2</v>
      </c>
      <c r="S24" s="16">
        <v>-1.4159600000000001</v>
      </c>
      <c r="T24" s="16">
        <v>125</v>
      </c>
      <c r="U24" s="16">
        <v>125</v>
      </c>
      <c r="V24" s="16">
        <v>115.37</v>
      </c>
      <c r="W24" s="16">
        <v>-1.4961799999999999E-4</v>
      </c>
      <c r="X24" s="16">
        <v>0.496</v>
      </c>
      <c r="Y24" s="16">
        <v>0.56614799999999998</v>
      </c>
      <c r="Z24" s="16" t="s">
        <v>89</v>
      </c>
      <c r="AA24" s="16" t="s">
        <v>89</v>
      </c>
    </row>
    <row r="25" spans="1:27" ht="15" x14ac:dyDescent="0.25">
      <c r="A25" s="16">
        <v>1971</v>
      </c>
      <c r="B25" s="16">
        <v>7</v>
      </c>
      <c r="C25" s="16">
        <v>1</v>
      </c>
      <c r="D25" s="16">
        <v>2</v>
      </c>
      <c r="E25" s="16">
        <v>1971.5</v>
      </c>
      <c r="F25" s="16">
        <v>1</v>
      </c>
      <c r="G25" s="16">
        <v>1</v>
      </c>
      <c r="H25" s="16">
        <v>1</v>
      </c>
      <c r="I25" s="16">
        <v>3</v>
      </c>
      <c r="J25" s="16" t="s">
        <v>160</v>
      </c>
      <c r="K25" s="16">
        <v>0</v>
      </c>
      <c r="L25" s="16">
        <v>0</v>
      </c>
      <c r="M25" s="16">
        <v>2</v>
      </c>
      <c r="N25" s="16">
        <v>1</v>
      </c>
      <c r="O25" s="16">
        <v>43</v>
      </c>
      <c r="P25" s="16">
        <v>52</v>
      </c>
      <c r="Q25" s="16">
        <v>2.4E-2</v>
      </c>
      <c r="R25" s="16">
        <v>1.9836900000000001E-2</v>
      </c>
      <c r="S25" s="16">
        <v>0.33380100000000001</v>
      </c>
      <c r="T25" s="16">
        <v>125</v>
      </c>
      <c r="U25" s="16">
        <v>125</v>
      </c>
      <c r="V25" s="16">
        <v>115.37</v>
      </c>
      <c r="W25" s="16">
        <v>0.57153299999999996</v>
      </c>
      <c r="X25" s="16">
        <v>0.52</v>
      </c>
      <c r="Y25" s="16">
        <v>0.58598499999999998</v>
      </c>
      <c r="Z25" s="16" t="s">
        <v>89</v>
      </c>
      <c r="AA25" s="16" t="s">
        <v>89</v>
      </c>
    </row>
    <row r="26" spans="1:27" ht="15" x14ac:dyDescent="0.25">
      <c r="A26" s="16">
        <v>1971</v>
      </c>
      <c r="B26" s="16">
        <v>7</v>
      </c>
      <c r="C26" s="16">
        <v>1</v>
      </c>
      <c r="D26" s="16">
        <v>2</v>
      </c>
      <c r="E26" s="16">
        <v>1971.5</v>
      </c>
      <c r="F26" s="16">
        <v>1</v>
      </c>
      <c r="G26" s="16">
        <v>1</v>
      </c>
      <c r="H26" s="16">
        <v>1</v>
      </c>
      <c r="I26" s="16">
        <v>3</v>
      </c>
      <c r="J26" s="16" t="s">
        <v>160</v>
      </c>
      <c r="K26" s="16">
        <v>0</v>
      </c>
      <c r="L26" s="16">
        <v>0</v>
      </c>
      <c r="M26" s="16">
        <v>2</v>
      </c>
      <c r="N26" s="16">
        <v>1</v>
      </c>
      <c r="O26" s="16">
        <v>43</v>
      </c>
      <c r="P26" s="16">
        <v>54</v>
      </c>
      <c r="Q26" s="16">
        <v>3.2000000000000001E-2</v>
      </c>
      <c r="R26" s="16">
        <v>2.4408099999999999E-2</v>
      </c>
      <c r="S26" s="16">
        <v>0.55005400000000004</v>
      </c>
      <c r="T26" s="16">
        <v>125</v>
      </c>
      <c r="U26" s="16">
        <v>125</v>
      </c>
      <c r="V26" s="16">
        <v>115.37</v>
      </c>
      <c r="W26" s="16">
        <v>1.0832900000000001</v>
      </c>
      <c r="X26" s="16">
        <v>0.55200000000000005</v>
      </c>
      <c r="Y26" s="16">
        <v>0.61039299999999996</v>
      </c>
      <c r="Z26" s="16" t="s">
        <v>89</v>
      </c>
      <c r="AA26" s="16" t="s">
        <v>89</v>
      </c>
    </row>
    <row r="27" spans="1:27" ht="15" x14ac:dyDescent="0.25">
      <c r="A27" s="16">
        <v>1971</v>
      </c>
      <c r="B27" s="16">
        <v>7</v>
      </c>
      <c r="C27" s="16">
        <v>1</v>
      </c>
      <c r="D27" s="16">
        <v>2</v>
      </c>
      <c r="E27" s="16">
        <v>1971.5</v>
      </c>
      <c r="F27" s="16">
        <v>1</v>
      </c>
      <c r="G27" s="16">
        <v>1</v>
      </c>
      <c r="H27" s="16">
        <v>1</v>
      </c>
      <c r="I27" s="16">
        <v>3</v>
      </c>
      <c r="J27" s="16" t="s">
        <v>160</v>
      </c>
      <c r="K27" s="16">
        <v>0</v>
      </c>
      <c r="L27" s="16">
        <v>0</v>
      </c>
      <c r="M27" s="16">
        <v>2</v>
      </c>
      <c r="N27" s="16">
        <v>1</v>
      </c>
      <c r="O27" s="16">
        <v>43</v>
      </c>
      <c r="P27" s="16">
        <v>56</v>
      </c>
      <c r="Q27" s="16">
        <v>1.60001E-2</v>
      </c>
      <c r="R27" s="16">
        <v>2.93034E-2</v>
      </c>
      <c r="S27" s="16">
        <v>-0.88189200000000001</v>
      </c>
      <c r="T27" s="16">
        <v>125</v>
      </c>
      <c r="U27" s="16">
        <v>125</v>
      </c>
      <c r="V27" s="16">
        <v>115.37</v>
      </c>
      <c r="W27" s="16">
        <v>-1.2102299999999999</v>
      </c>
      <c r="X27" s="16">
        <v>0.56800099999999998</v>
      </c>
      <c r="Y27" s="16">
        <v>0.63969600000000004</v>
      </c>
      <c r="Z27" s="16" t="s">
        <v>89</v>
      </c>
      <c r="AA27" s="16" t="s">
        <v>89</v>
      </c>
    </row>
    <row r="28" spans="1:27" ht="15" x14ac:dyDescent="0.25">
      <c r="A28" s="16">
        <v>1971</v>
      </c>
      <c r="B28" s="16">
        <v>7</v>
      </c>
      <c r="C28" s="16">
        <v>1</v>
      </c>
      <c r="D28" s="16">
        <v>2</v>
      </c>
      <c r="E28" s="16">
        <v>1971.5</v>
      </c>
      <c r="F28" s="16">
        <v>1</v>
      </c>
      <c r="G28" s="16">
        <v>1</v>
      </c>
      <c r="H28" s="16">
        <v>1</v>
      </c>
      <c r="I28" s="16">
        <v>3</v>
      </c>
      <c r="J28" s="16" t="s">
        <v>160</v>
      </c>
      <c r="K28" s="16">
        <v>0</v>
      </c>
      <c r="L28" s="16">
        <v>0</v>
      </c>
      <c r="M28" s="16">
        <v>2</v>
      </c>
      <c r="N28" s="16">
        <v>1</v>
      </c>
      <c r="O28" s="16">
        <v>43</v>
      </c>
      <c r="P28" s="16">
        <v>58</v>
      </c>
      <c r="Q28" s="16">
        <v>3.2000000000000001E-2</v>
      </c>
      <c r="R28" s="16">
        <v>3.4171300000000002E-2</v>
      </c>
      <c r="S28" s="16">
        <v>-0.13362399999999999</v>
      </c>
      <c r="T28" s="16">
        <v>125</v>
      </c>
      <c r="U28" s="16">
        <v>125</v>
      </c>
      <c r="V28" s="16">
        <v>115.37</v>
      </c>
      <c r="W28" s="16">
        <v>-0.26259500000000002</v>
      </c>
      <c r="X28" s="16">
        <v>0.60000100000000001</v>
      </c>
      <c r="Y28" s="16">
        <v>0.67386800000000002</v>
      </c>
      <c r="Z28" s="16" t="s">
        <v>89</v>
      </c>
      <c r="AA28" s="16" t="s">
        <v>89</v>
      </c>
    </row>
    <row r="29" spans="1:27" ht="15" x14ac:dyDescent="0.25">
      <c r="A29" s="16">
        <v>1971</v>
      </c>
      <c r="B29" s="16">
        <v>7</v>
      </c>
      <c r="C29" s="16">
        <v>1</v>
      </c>
      <c r="D29" s="16">
        <v>2</v>
      </c>
      <c r="E29" s="16">
        <v>1971.5</v>
      </c>
      <c r="F29" s="16">
        <v>1</v>
      </c>
      <c r="G29" s="16">
        <v>1</v>
      </c>
      <c r="H29" s="16">
        <v>1</v>
      </c>
      <c r="I29" s="16">
        <v>3</v>
      </c>
      <c r="J29" s="16" t="s">
        <v>160</v>
      </c>
      <c r="K29" s="16">
        <v>0</v>
      </c>
      <c r="L29" s="16">
        <v>0</v>
      </c>
      <c r="M29" s="16">
        <v>2</v>
      </c>
      <c r="N29" s="16">
        <v>1</v>
      </c>
      <c r="O29" s="16">
        <v>43</v>
      </c>
      <c r="P29" s="16">
        <v>60</v>
      </c>
      <c r="Q29" s="16">
        <v>0.04</v>
      </c>
      <c r="R29" s="16">
        <v>3.84947E-2</v>
      </c>
      <c r="S29" s="16">
        <v>8.7479299999999996E-2</v>
      </c>
      <c r="T29" s="16">
        <v>125</v>
      </c>
      <c r="U29" s="16">
        <v>125</v>
      </c>
      <c r="V29" s="16">
        <v>115.37</v>
      </c>
      <c r="W29" s="16">
        <v>0.19179599999999999</v>
      </c>
      <c r="X29" s="16">
        <v>0.64000100000000004</v>
      </c>
      <c r="Y29" s="16">
        <v>0.71236200000000005</v>
      </c>
      <c r="Z29" s="16" t="s">
        <v>89</v>
      </c>
      <c r="AA29" s="16" t="s">
        <v>89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1:FB40"/>
  <sheetViews>
    <sheetView zoomScale="70" zoomScaleNormal="70" workbookViewId="0">
      <selection activeCell="A34" sqref="A34"/>
    </sheetView>
  </sheetViews>
  <sheetFormatPr defaultRowHeight="12.75" x14ac:dyDescent="0.2"/>
  <cols>
    <col min="1" max="16384" width="9.140625" style="1"/>
  </cols>
  <sheetData>
    <row r="11" spans="12:13" x14ac:dyDescent="0.2">
      <c r="L11" s="3"/>
      <c r="M11" s="3"/>
    </row>
    <row r="12" spans="12:13" x14ac:dyDescent="0.2">
      <c r="L12" s="3"/>
      <c r="M12" s="3"/>
    </row>
    <row r="13" spans="12:13" x14ac:dyDescent="0.2">
      <c r="M13" s="3"/>
    </row>
    <row r="14" spans="12:13" x14ac:dyDescent="0.2">
      <c r="M14" s="3"/>
    </row>
    <row r="15" spans="12:13" x14ac:dyDescent="0.2">
      <c r="M15" s="3"/>
    </row>
    <row r="16" spans="12:13" x14ac:dyDescent="0.2">
      <c r="M16" s="3"/>
    </row>
    <row r="17" spans="13:13" x14ac:dyDescent="0.2">
      <c r="M17" s="3"/>
    </row>
    <row r="18" spans="13:13" x14ac:dyDescent="0.2">
      <c r="M18" s="3"/>
    </row>
    <row r="19" spans="13:13" x14ac:dyDescent="0.2">
      <c r="M19" s="3"/>
    </row>
    <row r="20" spans="13:13" x14ac:dyDescent="0.2">
      <c r="M20" s="3"/>
    </row>
    <row r="21" spans="13:13" x14ac:dyDescent="0.2">
      <c r="M21" s="3"/>
    </row>
    <row r="34" spans="1:158" ht="15" x14ac:dyDescent="0.2">
      <c r="B34" s="15"/>
    </row>
    <row r="36" spans="1:158" x14ac:dyDescent="0.2">
      <c r="A36" s="22" t="e">
        <f>P36/N36*100</f>
        <v>#DIV/0!</v>
      </c>
      <c r="B36" s="22" t="e">
        <f>Q36/O36*100</f>
        <v>#DIV/0!</v>
      </c>
    </row>
    <row r="37" spans="1:158" ht="15" x14ac:dyDescent="0.25">
      <c r="C37" s="16" t="s">
        <v>1</v>
      </c>
      <c r="D37" s="16" t="s">
        <v>20</v>
      </c>
      <c r="E37" s="16" t="s">
        <v>26</v>
      </c>
      <c r="F37" s="16" t="s">
        <v>177</v>
      </c>
      <c r="G37" s="16" t="s">
        <v>173</v>
      </c>
      <c r="H37" s="16" t="s">
        <v>172</v>
      </c>
      <c r="I37" s="16" t="s">
        <v>174</v>
      </c>
      <c r="J37" s="16" t="s">
        <v>175</v>
      </c>
      <c r="K37" s="16" t="s">
        <v>27</v>
      </c>
      <c r="L37" s="16" t="s">
        <v>28</v>
      </c>
      <c r="M37" s="16" t="s">
        <v>29</v>
      </c>
      <c r="N37" s="16" t="s">
        <v>30</v>
      </c>
      <c r="O37" s="16" t="s">
        <v>31</v>
      </c>
      <c r="P37" s="16" t="s">
        <v>32</v>
      </c>
      <c r="Q37" s="16" t="s">
        <v>33</v>
      </c>
      <c r="R37" s="16" t="s">
        <v>34</v>
      </c>
      <c r="S37" s="16" t="s">
        <v>35</v>
      </c>
      <c r="T37" s="16" t="s">
        <v>36</v>
      </c>
      <c r="U37" s="16" t="s">
        <v>37</v>
      </c>
      <c r="V37" s="16" t="s">
        <v>38</v>
      </c>
      <c r="W37" s="16" t="s">
        <v>196</v>
      </c>
      <c r="X37" s="16" t="s">
        <v>197</v>
      </c>
      <c r="Y37" s="16" t="s">
        <v>252</v>
      </c>
      <c r="Z37" s="16" t="s">
        <v>39</v>
      </c>
      <c r="AA37" s="16" t="s">
        <v>40</v>
      </c>
      <c r="AB37" s="16" t="s">
        <v>41</v>
      </c>
      <c r="AC37" s="16" t="s">
        <v>42</v>
      </c>
      <c r="AD37" s="16" t="s">
        <v>43</v>
      </c>
      <c r="AE37" s="16" t="s">
        <v>44</v>
      </c>
      <c r="AF37" s="16" t="s">
        <v>45</v>
      </c>
      <c r="AG37" s="16" t="s">
        <v>46</v>
      </c>
      <c r="AH37" s="16" t="s">
        <v>47</v>
      </c>
      <c r="AI37" s="16" t="s">
        <v>168</v>
      </c>
      <c r="AJ37" s="16" t="s">
        <v>169</v>
      </c>
      <c r="AK37" s="16" t="s">
        <v>51</v>
      </c>
      <c r="AL37" s="16" t="s">
        <v>136</v>
      </c>
      <c r="AM37" s="16" t="s">
        <v>52</v>
      </c>
      <c r="AN37" s="16" t="s">
        <v>53</v>
      </c>
      <c r="AO37" s="16" t="s">
        <v>170</v>
      </c>
      <c r="AP37" s="16" t="s">
        <v>171</v>
      </c>
      <c r="AQ37" s="16" t="s">
        <v>54</v>
      </c>
      <c r="AR37" s="16" t="s">
        <v>55</v>
      </c>
      <c r="AS37" s="16" t="s">
        <v>56</v>
      </c>
      <c r="AT37" s="16" t="s">
        <v>57</v>
      </c>
      <c r="AU37" s="16" t="s">
        <v>198</v>
      </c>
      <c r="AV37" s="16" t="s">
        <v>199</v>
      </c>
      <c r="AW37" s="16" t="s">
        <v>58</v>
      </c>
      <c r="AX37" s="16" t="s">
        <v>61</v>
      </c>
      <c r="AY37" s="16" t="s">
        <v>62</v>
      </c>
      <c r="AZ37" s="16" t="s">
        <v>63</v>
      </c>
      <c r="BA37" s="16" t="s">
        <v>64</v>
      </c>
      <c r="BB37" s="16" t="s">
        <v>65</v>
      </c>
      <c r="BC37" s="16" t="s">
        <v>66</v>
      </c>
      <c r="BD37" s="16" t="s">
        <v>209</v>
      </c>
      <c r="BE37" s="16" t="s">
        <v>210</v>
      </c>
      <c r="BF37" s="16" t="s">
        <v>164</v>
      </c>
      <c r="BG37" s="16" t="s">
        <v>67</v>
      </c>
      <c r="BH37" s="16" t="s">
        <v>68</v>
      </c>
      <c r="BI37" s="16" t="s">
        <v>69</v>
      </c>
      <c r="BJ37" s="16" t="s">
        <v>70</v>
      </c>
      <c r="BK37" s="16" t="s">
        <v>71</v>
      </c>
      <c r="BL37" s="16" t="s">
        <v>72</v>
      </c>
      <c r="BM37" s="16" t="s">
        <v>73</v>
      </c>
      <c r="BN37" s="16" t="s">
        <v>74</v>
      </c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/>
      <c r="DF37"/>
      <c r="DG37"/>
      <c r="DH37"/>
      <c r="DI37"/>
      <c r="DJ37"/>
      <c r="DK37"/>
      <c r="DL37"/>
      <c r="DM37"/>
      <c r="DN37"/>
      <c r="DO37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</row>
    <row r="38" spans="1:158" ht="15" x14ac:dyDescent="0.25">
      <c r="A38" s="22">
        <f t="shared" ref="A38:A40" si="0">P38/N38*100</f>
        <v>10</v>
      </c>
      <c r="B38" s="22">
        <f t="shared" ref="B38:B40" si="1">Q38/O38*100</f>
        <v>10</v>
      </c>
      <c r="C38" s="16">
        <v>1</v>
      </c>
      <c r="D38" s="16">
        <v>1</v>
      </c>
      <c r="E38" s="16">
        <v>1</v>
      </c>
      <c r="F38" s="16">
        <v>1</v>
      </c>
      <c r="G38" s="16">
        <v>1</v>
      </c>
      <c r="H38" s="16">
        <v>1</v>
      </c>
      <c r="I38" s="16">
        <v>0</v>
      </c>
      <c r="J38" s="16">
        <v>0</v>
      </c>
      <c r="K38" s="16">
        <v>0</v>
      </c>
      <c r="L38" s="16">
        <v>0.5</v>
      </c>
      <c r="M38" s="16">
        <v>0.1</v>
      </c>
      <c r="N38" s="16">
        <v>21.653500000000001</v>
      </c>
      <c r="O38" s="16">
        <v>25.294899999999998</v>
      </c>
      <c r="P38" s="16">
        <v>2.1653500000000001</v>
      </c>
      <c r="Q38" s="16">
        <v>2.52949</v>
      </c>
      <c r="R38" s="16">
        <v>7.5030700000000006E-2</v>
      </c>
      <c r="S38" s="16">
        <v>0.12614300000000001</v>
      </c>
      <c r="T38" s="16">
        <v>2.8017599999999998E-4</v>
      </c>
      <c r="U38" s="16">
        <v>1</v>
      </c>
      <c r="V38" s="16">
        <v>0</v>
      </c>
      <c r="W38" s="16">
        <v>2.5272699999999999E-5</v>
      </c>
      <c r="X38" s="16" t="s">
        <v>263</v>
      </c>
      <c r="Y38" s="16">
        <v>26.3264</v>
      </c>
      <c r="Z38" s="16">
        <v>0.14374300000000001</v>
      </c>
      <c r="AA38" s="16">
        <v>0.14374300000000001</v>
      </c>
      <c r="AB38" s="16">
        <v>28.185600000000001</v>
      </c>
      <c r="AC38" s="16">
        <v>0.17952599999999999</v>
      </c>
      <c r="AD38" s="16">
        <v>0.17952599999999999</v>
      </c>
      <c r="AE38" s="16">
        <v>25.294899999999998</v>
      </c>
      <c r="AF38" s="16">
        <v>0.12614300000000001</v>
      </c>
      <c r="AG38" s="16">
        <v>0.12614300000000001</v>
      </c>
      <c r="AH38" s="16"/>
      <c r="AI38" s="16">
        <v>6.4748099999999997</v>
      </c>
      <c r="AJ38" s="16">
        <v>6.4748099999999997</v>
      </c>
      <c r="AK38" s="16">
        <v>8.1135800000000007</v>
      </c>
      <c r="AL38" s="16">
        <v>3.0962000000000001</v>
      </c>
      <c r="AM38" s="16">
        <v>3.0962000000000001</v>
      </c>
      <c r="AN38" s="16">
        <v>8.8558900000000005</v>
      </c>
      <c r="AO38" s="16">
        <v>4.0201700000000002</v>
      </c>
      <c r="AP38" s="16">
        <v>4.0201700000000002</v>
      </c>
      <c r="AQ38" s="16">
        <v>8.1177899999999994</v>
      </c>
      <c r="AR38" s="16">
        <v>3.1019999999999999</v>
      </c>
      <c r="AS38" s="16">
        <v>3.1019999999999999</v>
      </c>
      <c r="AT38" s="16">
        <v>9.7698800000000006</v>
      </c>
      <c r="AU38" s="16">
        <v>5.3400299999999996</v>
      </c>
      <c r="AV38" s="16">
        <v>5.3400299999999996</v>
      </c>
      <c r="AW38" s="16">
        <v>9.0834200000000003</v>
      </c>
      <c r="AX38" s="16">
        <v>4.3723299999999998</v>
      </c>
      <c r="AY38" s="16">
        <v>4.3723299999999998</v>
      </c>
      <c r="AZ38" s="16">
        <v>9.7698800000000006</v>
      </c>
      <c r="BA38" s="16">
        <v>5.3400299999999996</v>
      </c>
      <c r="BB38" s="16">
        <v>5.3400299999999996</v>
      </c>
      <c r="BC38" s="16"/>
      <c r="BD38" s="16">
        <v>8.1182500000000005E-2</v>
      </c>
      <c r="BE38" s="16">
        <v>8.1182500000000005E-2</v>
      </c>
      <c r="BF38" s="16">
        <v>28.7425</v>
      </c>
      <c r="BG38" s="16">
        <v>9.5303100000000002E-2</v>
      </c>
      <c r="BH38" s="16">
        <v>9.5303100000000002E-2</v>
      </c>
      <c r="BI38" s="16">
        <v>28.7425</v>
      </c>
      <c r="BJ38" s="16">
        <v>9.5303100000000002E-2</v>
      </c>
      <c r="BK38" s="16">
        <v>9.5303100000000002E-2</v>
      </c>
      <c r="BL38" s="16">
        <v>31.092500000000001</v>
      </c>
      <c r="BM38" s="16">
        <v>0.12117700000000001</v>
      </c>
      <c r="BN38" s="16">
        <v>0.12117700000000001</v>
      </c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/>
      <c r="DF38"/>
      <c r="DG38"/>
      <c r="DH38"/>
      <c r="DI38"/>
      <c r="DJ38"/>
      <c r="DK38"/>
      <c r="DL38"/>
      <c r="DM38"/>
      <c r="DN38"/>
      <c r="DO3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</row>
    <row r="39" spans="1:158" ht="15" x14ac:dyDescent="0.25">
      <c r="A39" s="22">
        <f t="shared" si="0"/>
        <v>10</v>
      </c>
      <c r="B39" s="22">
        <f t="shared" si="1"/>
        <v>10</v>
      </c>
      <c r="C39" s="16">
        <v>1</v>
      </c>
      <c r="D39" s="16">
        <v>1</v>
      </c>
      <c r="E39" s="16">
        <v>1</v>
      </c>
      <c r="F39" s="16">
        <v>1</v>
      </c>
      <c r="G39" s="16">
        <v>1</v>
      </c>
      <c r="H39" s="16">
        <v>1</v>
      </c>
      <c r="I39" s="16">
        <v>1</v>
      </c>
      <c r="J39" s="16">
        <v>1</v>
      </c>
      <c r="K39" s="16">
        <v>1</v>
      </c>
      <c r="L39" s="16">
        <v>1.5</v>
      </c>
      <c r="M39" s="16">
        <v>0.1</v>
      </c>
      <c r="N39" s="16">
        <v>28.677800000000001</v>
      </c>
      <c r="O39" s="16">
        <v>31.820499999999999</v>
      </c>
      <c r="P39" s="16">
        <v>2.8677800000000002</v>
      </c>
      <c r="Q39" s="16">
        <v>3.1820499999999998</v>
      </c>
      <c r="R39" s="16">
        <v>0.19192200000000001</v>
      </c>
      <c r="S39" s="16">
        <v>0.27173799999999998</v>
      </c>
      <c r="T39" s="16">
        <v>1.80674E-3</v>
      </c>
      <c r="U39" s="16">
        <v>1</v>
      </c>
      <c r="V39" s="16">
        <v>4.38484E-4</v>
      </c>
      <c r="W39" s="16">
        <v>4.38484E-4</v>
      </c>
      <c r="X39" s="16" t="s">
        <v>264</v>
      </c>
      <c r="Y39" s="16">
        <v>33.373600000000003</v>
      </c>
      <c r="Z39" s="16">
        <v>0.31746999999999997</v>
      </c>
      <c r="AA39" s="16">
        <v>0.31746999999999997</v>
      </c>
      <c r="AB39" s="16">
        <v>34.8551</v>
      </c>
      <c r="AC39" s="16">
        <v>0.36296099999999998</v>
      </c>
      <c r="AD39" s="16">
        <v>0.36296099999999998</v>
      </c>
      <c r="AE39" s="16">
        <v>31.820499999999999</v>
      </c>
      <c r="AF39" s="16">
        <v>0.27173799999999998</v>
      </c>
      <c r="AG39" s="16">
        <v>0.27173799999999998</v>
      </c>
      <c r="AH39" s="16"/>
      <c r="AI39" s="16">
        <v>151.52699999999999</v>
      </c>
      <c r="AJ39" s="16">
        <v>151.52699999999999</v>
      </c>
      <c r="AK39" s="16">
        <v>26.130199999999999</v>
      </c>
      <c r="AL39" s="16">
        <v>126.105</v>
      </c>
      <c r="AM39" s="16">
        <v>126.105</v>
      </c>
      <c r="AN39" s="16">
        <v>27.8247</v>
      </c>
      <c r="AO39" s="16">
        <v>152.75200000000001</v>
      </c>
      <c r="AP39" s="16">
        <v>152.75200000000001</v>
      </c>
      <c r="AQ39" s="16">
        <v>27.260300000000001</v>
      </c>
      <c r="AR39" s="16">
        <v>143.93100000000001</v>
      </c>
      <c r="AS39" s="16">
        <v>143.93100000000001</v>
      </c>
      <c r="AT39" s="16">
        <v>28.685099999999998</v>
      </c>
      <c r="AU39" s="16">
        <v>168.53399999999999</v>
      </c>
      <c r="AV39" s="16">
        <v>168.53399999999999</v>
      </c>
      <c r="AW39" s="16">
        <v>34.903399999999998</v>
      </c>
      <c r="AX39" s="16">
        <v>303.97800000000001</v>
      </c>
      <c r="AY39" s="16">
        <v>303.97800000000001</v>
      </c>
      <c r="AZ39" s="16">
        <v>28.685099999999998</v>
      </c>
      <c r="BA39" s="16">
        <v>168.53399999999999</v>
      </c>
      <c r="BB39" s="16">
        <v>168.53399999999999</v>
      </c>
      <c r="BC39" s="16"/>
      <c r="BD39" s="16">
        <v>0.104559</v>
      </c>
      <c r="BE39" s="16">
        <v>0.104559</v>
      </c>
      <c r="BF39" s="16">
        <v>31.180499999999999</v>
      </c>
      <c r="BG39" s="16">
        <v>0.123291</v>
      </c>
      <c r="BH39" s="16">
        <v>0.123291</v>
      </c>
      <c r="BI39" s="16">
        <v>31.180499999999999</v>
      </c>
      <c r="BJ39" s="16">
        <v>0.123291</v>
      </c>
      <c r="BK39" s="16">
        <v>0.123291</v>
      </c>
      <c r="BL39" s="16">
        <v>33.8414</v>
      </c>
      <c r="BM39" s="16">
        <v>0.15829699999999999</v>
      </c>
      <c r="BN39" s="16">
        <v>0.15829699999999999</v>
      </c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/>
      <c r="DF39"/>
      <c r="DG39"/>
      <c r="DH39"/>
      <c r="DI39"/>
      <c r="DJ39"/>
      <c r="DK39"/>
      <c r="DL39"/>
      <c r="DM39"/>
      <c r="DN39"/>
      <c r="DO3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</row>
    <row r="40" spans="1:158" ht="15" x14ac:dyDescent="0.25">
      <c r="A40" s="22">
        <f t="shared" si="0"/>
        <v>10</v>
      </c>
      <c r="B40" s="22">
        <f t="shared" si="1"/>
        <v>10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6">
        <v>2</v>
      </c>
      <c r="J40" s="16">
        <v>2</v>
      </c>
      <c r="K40" s="16">
        <v>2</v>
      </c>
      <c r="L40" s="16">
        <v>2.5</v>
      </c>
      <c r="M40" s="16">
        <v>0.1</v>
      </c>
      <c r="N40" s="16">
        <v>34.74</v>
      </c>
      <c r="O40" s="16">
        <v>37.452300000000001</v>
      </c>
      <c r="P40" s="16">
        <v>3.4740000000000002</v>
      </c>
      <c r="Q40" s="16">
        <v>3.7452299999999998</v>
      </c>
      <c r="R40" s="16">
        <v>0.36446899999999999</v>
      </c>
      <c r="S40" s="16">
        <v>0.46867199999999998</v>
      </c>
      <c r="T40" s="16">
        <v>9.1224900000000005E-3</v>
      </c>
      <c r="U40" s="16">
        <v>1</v>
      </c>
      <c r="V40" s="16">
        <v>4.3745499999999996E-3</v>
      </c>
      <c r="W40" s="16">
        <v>4.3745499999999996E-3</v>
      </c>
      <c r="X40" s="16" t="s">
        <v>265</v>
      </c>
      <c r="Y40" s="16">
        <v>39.4392</v>
      </c>
      <c r="Z40" s="16">
        <v>0.55444099999999996</v>
      </c>
      <c r="AA40" s="16">
        <v>0.55444099999999996</v>
      </c>
      <c r="AB40" s="16">
        <v>39.3386</v>
      </c>
      <c r="AC40" s="16">
        <v>0.54463099999999998</v>
      </c>
      <c r="AD40" s="16">
        <v>0.54463099999999998</v>
      </c>
      <c r="AE40" s="16">
        <v>37.452300000000001</v>
      </c>
      <c r="AF40" s="16">
        <v>0.46867199999999998</v>
      </c>
      <c r="AG40" s="16">
        <v>0.46867199999999998</v>
      </c>
      <c r="AH40" s="16"/>
      <c r="AI40" s="16">
        <v>380.05200000000002</v>
      </c>
      <c r="AJ40" s="16">
        <v>380.05200000000002</v>
      </c>
      <c r="AK40" s="16">
        <v>33.286099999999998</v>
      </c>
      <c r="AL40" s="16">
        <v>273.30599999999998</v>
      </c>
      <c r="AM40" s="16">
        <v>273.30599999999998</v>
      </c>
      <c r="AN40" s="16">
        <v>36.709499999999998</v>
      </c>
      <c r="AO40" s="16">
        <v>368.58300000000003</v>
      </c>
      <c r="AP40" s="16">
        <v>368.58300000000003</v>
      </c>
      <c r="AQ40" s="16">
        <v>36.183100000000003</v>
      </c>
      <c r="AR40" s="16">
        <v>354.33699999999999</v>
      </c>
      <c r="AS40" s="16">
        <v>354.33699999999999</v>
      </c>
      <c r="AT40" s="16">
        <v>39.498600000000003</v>
      </c>
      <c r="AU40" s="16">
        <v>463.476</v>
      </c>
      <c r="AV40" s="16">
        <v>463.476</v>
      </c>
      <c r="AW40" s="16">
        <v>46.700099999999999</v>
      </c>
      <c r="AX40" s="16">
        <v>761.81700000000001</v>
      </c>
      <c r="AY40" s="16">
        <v>761.81700000000001</v>
      </c>
      <c r="AZ40" s="16">
        <v>39.498600000000003</v>
      </c>
      <c r="BA40" s="16">
        <v>463.476</v>
      </c>
      <c r="BB40" s="16">
        <v>463.476</v>
      </c>
      <c r="BC40" s="16"/>
      <c r="BD40" s="16">
        <v>0.131359</v>
      </c>
      <c r="BE40" s="16">
        <v>0.131359</v>
      </c>
      <c r="BF40" s="16">
        <v>33.537599999999998</v>
      </c>
      <c r="BG40" s="16">
        <v>0.15526000000000001</v>
      </c>
      <c r="BH40" s="16">
        <v>0.15526000000000001</v>
      </c>
      <c r="BI40" s="16">
        <v>33.537599999999998</v>
      </c>
      <c r="BJ40" s="16">
        <v>0.15526000000000001</v>
      </c>
      <c r="BK40" s="16">
        <v>0.15526000000000001</v>
      </c>
      <c r="BL40" s="16">
        <v>36.494100000000003</v>
      </c>
      <c r="BM40" s="16">
        <v>0.200847</v>
      </c>
      <c r="BN40" s="16">
        <v>0.200847</v>
      </c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</row>
  </sheetData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V7"/>
  <sheetViews>
    <sheetView workbookViewId="0"/>
  </sheetViews>
  <sheetFormatPr defaultRowHeight="15" x14ac:dyDescent="0.25"/>
  <sheetData>
    <row r="1" spans="1:48" s="16" customFormat="1" x14ac:dyDescent="0.25"/>
    <row r="2" spans="1:48" s="16" customFormat="1" x14ac:dyDescent="0.25"/>
    <row r="3" spans="1:48" s="16" customFormat="1" x14ac:dyDescent="0.25"/>
    <row r="4" spans="1:48" s="16" customFormat="1" x14ac:dyDescent="0.25"/>
    <row r="5" spans="1:48" s="16" customFormat="1" x14ac:dyDescent="0.25"/>
    <row r="6" spans="1:48" s="16" customFormat="1" x14ac:dyDescent="0.25">
      <c r="A6" s="16" t="s">
        <v>79</v>
      </c>
      <c r="B6" s="16" t="s">
        <v>0</v>
      </c>
      <c r="C6" s="16" t="s">
        <v>2</v>
      </c>
      <c r="D6" s="16" t="s">
        <v>177</v>
      </c>
      <c r="E6" s="16" t="s">
        <v>176</v>
      </c>
      <c r="F6" s="16">
        <v>11</v>
      </c>
      <c r="G6" s="16">
        <v>13</v>
      </c>
      <c r="H6" s="16">
        <v>15</v>
      </c>
      <c r="I6" s="16">
        <v>17</v>
      </c>
      <c r="J6" s="16">
        <v>19</v>
      </c>
      <c r="K6" s="16">
        <v>21</v>
      </c>
      <c r="L6" s="16">
        <v>23</v>
      </c>
      <c r="M6" s="16">
        <v>25</v>
      </c>
      <c r="N6" s="16">
        <v>27</v>
      </c>
      <c r="O6" s="16">
        <v>29</v>
      </c>
      <c r="P6" s="16">
        <v>31</v>
      </c>
      <c r="Q6" s="16">
        <v>33</v>
      </c>
      <c r="R6" s="16">
        <v>35</v>
      </c>
      <c r="S6" s="16">
        <v>37</v>
      </c>
      <c r="T6" s="16">
        <v>39</v>
      </c>
      <c r="U6" s="16">
        <v>41</v>
      </c>
      <c r="V6" s="16">
        <v>43</v>
      </c>
      <c r="W6" s="16">
        <v>45</v>
      </c>
      <c r="X6" s="16">
        <v>47</v>
      </c>
      <c r="Y6" s="16">
        <v>49</v>
      </c>
      <c r="Z6" s="16">
        <v>51</v>
      </c>
      <c r="AA6" s="16">
        <v>53</v>
      </c>
      <c r="AB6" s="16">
        <v>55</v>
      </c>
      <c r="AC6" s="16">
        <v>57</v>
      </c>
      <c r="AD6" s="16">
        <v>59</v>
      </c>
      <c r="AE6" s="16">
        <v>61</v>
      </c>
      <c r="AF6" s="16">
        <v>63</v>
      </c>
      <c r="AG6" s="16">
        <v>65</v>
      </c>
      <c r="AH6" s="16">
        <v>67</v>
      </c>
      <c r="AI6" s="16">
        <v>69</v>
      </c>
      <c r="AJ6" s="16">
        <v>71</v>
      </c>
      <c r="AK6" s="16">
        <v>73</v>
      </c>
      <c r="AL6" s="16">
        <v>75</v>
      </c>
      <c r="AM6" s="16">
        <v>77</v>
      </c>
      <c r="AN6" s="16">
        <v>79</v>
      </c>
      <c r="AO6" s="16">
        <v>81</v>
      </c>
      <c r="AP6" s="16">
        <v>83</v>
      </c>
      <c r="AQ6" s="16">
        <v>85</v>
      </c>
      <c r="AR6" s="16">
        <v>87</v>
      </c>
      <c r="AS6" s="16">
        <v>89</v>
      </c>
      <c r="AT6" s="16">
        <v>91</v>
      </c>
      <c r="AU6" s="16">
        <v>93</v>
      </c>
      <c r="AV6" s="16">
        <v>95</v>
      </c>
    </row>
    <row r="7" spans="1:48" s="16" customFormat="1" x14ac:dyDescent="0.25">
      <c r="A7" s="16" t="s">
        <v>78</v>
      </c>
      <c r="B7" s="16">
        <v>1</v>
      </c>
      <c r="C7" s="16">
        <v>1968</v>
      </c>
      <c r="D7" s="16">
        <v>1</v>
      </c>
      <c r="E7" s="16" t="s">
        <v>261</v>
      </c>
      <c r="F7" s="16">
        <v>1.3119399999999999E-3</v>
      </c>
      <c r="G7" s="16">
        <v>1.79003E-3</v>
      </c>
      <c r="H7" s="16">
        <v>2.4418999999999999E-3</v>
      </c>
      <c r="I7" s="16">
        <v>3.33037E-3</v>
      </c>
      <c r="J7" s="16">
        <v>4.5406400000000003E-3</v>
      </c>
      <c r="K7" s="16">
        <v>6.1879999999999999E-3</v>
      </c>
      <c r="L7" s="16">
        <v>8.42796E-3</v>
      </c>
      <c r="M7" s="16">
        <v>1.1469399999999999E-2</v>
      </c>
      <c r="N7" s="16">
        <v>1.55911E-2</v>
      </c>
      <c r="O7" s="16">
        <v>2.1162400000000001E-2</v>
      </c>
      <c r="P7" s="16">
        <v>2.8666500000000001E-2</v>
      </c>
      <c r="Q7" s="16">
        <v>3.8726299999999998E-2</v>
      </c>
      <c r="R7" s="16">
        <v>5.2126800000000001E-2</v>
      </c>
      <c r="S7" s="16">
        <v>6.9827500000000001E-2</v>
      </c>
      <c r="T7" s="16">
        <v>9.2949400000000001E-2</v>
      </c>
      <c r="U7" s="16">
        <v>0.12271799999999999</v>
      </c>
      <c r="V7" s="16">
        <v>0.160334</v>
      </c>
      <c r="W7" s="16">
        <v>0.206764</v>
      </c>
      <c r="X7" s="16">
        <v>0.262436</v>
      </c>
      <c r="Y7" s="16">
        <v>0.32691999999999999</v>
      </c>
      <c r="Z7" s="16">
        <v>0.39868500000000001</v>
      </c>
      <c r="AA7" s="16">
        <v>0.47508400000000001</v>
      </c>
      <c r="AB7" s="16">
        <v>0.55266700000000002</v>
      </c>
      <c r="AC7" s="16">
        <v>0.62776699999999996</v>
      </c>
      <c r="AD7" s="16">
        <v>0.69716800000000001</v>
      </c>
      <c r="AE7" s="16">
        <v>0.75860499999999997</v>
      </c>
      <c r="AF7" s="16">
        <v>0.81095799999999996</v>
      </c>
      <c r="AG7" s="16">
        <v>0.85414000000000001</v>
      </c>
      <c r="AH7" s="16">
        <v>0.88880999999999999</v>
      </c>
      <c r="AI7" s="16">
        <v>0.91605000000000003</v>
      </c>
      <c r="AJ7" s="16">
        <v>0.93708800000000003</v>
      </c>
      <c r="AK7" s="16">
        <v>0.95312399999999997</v>
      </c>
      <c r="AL7" s="16">
        <v>0.96522399999999997</v>
      </c>
      <c r="AM7" s="16">
        <v>0.97428499999999996</v>
      </c>
      <c r="AN7" s="16">
        <v>0.98103200000000002</v>
      </c>
      <c r="AO7" s="16">
        <v>0.98603399999999997</v>
      </c>
      <c r="AP7" s="16">
        <v>0.98973</v>
      </c>
      <c r="AQ7" s="16">
        <v>0.992456</v>
      </c>
      <c r="AR7" s="16">
        <v>0.99446199999999996</v>
      </c>
      <c r="AS7" s="16">
        <v>0.99593699999999996</v>
      </c>
      <c r="AT7" s="16">
        <v>0.99702100000000005</v>
      </c>
      <c r="AU7" s="16">
        <v>0.99781600000000004</v>
      </c>
      <c r="AV7" s="16">
        <v>0.99839900000000004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iew_Selex_Data">
                <anchor moveWithCells="1" sizeWithCells="1">
                  <from>
                    <xdr:col>5</xdr:col>
                    <xdr:colOff>19050</xdr:colOff>
                    <xdr:row>0</xdr:row>
                    <xdr:rowOff>180975</xdr:rowOff>
                  </from>
                  <to>
                    <xdr:col>8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C7"/>
  <sheetViews>
    <sheetView zoomScale="69" zoomScaleNormal="69" workbookViewId="0"/>
  </sheetViews>
  <sheetFormatPr defaultRowHeight="15" x14ac:dyDescent="0.25"/>
  <sheetData>
    <row r="1" spans="1:133" ht="240.75" customHeight="1" x14ac:dyDescent="0.25">
      <c r="L1" s="15"/>
    </row>
    <row r="2" spans="1:133" x14ac:dyDescent="0.25">
      <c r="A2" s="16" t="s">
        <v>79</v>
      </c>
      <c r="B2" s="16" t="s">
        <v>0</v>
      </c>
      <c r="C2" s="16" t="s">
        <v>2</v>
      </c>
      <c r="D2" s="16" t="s">
        <v>177</v>
      </c>
      <c r="E2" s="16" t="s">
        <v>176</v>
      </c>
      <c r="F2" s="16">
        <v>4.5</v>
      </c>
      <c r="G2" s="16">
        <v>5.5</v>
      </c>
      <c r="H2" s="16">
        <v>6.5</v>
      </c>
      <c r="I2" s="16">
        <v>7.5</v>
      </c>
      <c r="J2" s="16">
        <v>8.5</v>
      </c>
      <c r="K2" s="16">
        <v>9.5</v>
      </c>
      <c r="L2" s="16">
        <v>10.5</v>
      </c>
      <c r="M2" s="16">
        <v>11.5</v>
      </c>
      <c r="N2" s="16">
        <v>12.5</v>
      </c>
      <c r="O2" s="16">
        <v>13.5</v>
      </c>
      <c r="P2" s="16">
        <v>14.5</v>
      </c>
      <c r="Q2" s="16">
        <v>15.5</v>
      </c>
      <c r="R2" s="16">
        <v>16.5</v>
      </c>
      <c r="S2" s="16">
        <v>17.5</v>
      </c>
      <c r="T2" s="16">
        <v>18.5</v>
      </c>
      <c r="U2" s="16">
        <v>19.5</v>
      </c>
      <c r="V2" s="16">
        <v>20.5</v>
      </c>
      <c r="W2" s="16">
        <v>21.5</v>
      </c>
      <c r="X2" s="16">
        <v>22.5</v>
      </c>
      <c r="Y2" s="16">
        <v>23.5</v>
      </c>
      <c r="Z2" s="16">
        <v>24.5</v>
      </c>
      <c r="AA2" s="16">
        <v>25.5</v>
      </c>
      <c r="AB2" s="16">
        <v>26.5</v>
      </c>
      <c r="AC2" s="16">
        <v>27.5</v>
      </c>
      <c r="AD2" s="16">
        <v>28.5</v>
      </c>
      <c r="AE2" s="16">
        <v>29.5</v>
      </c>
      <c r="AF2" s="16">
        <v>30.5</v>
      </c>
      <c r="AG2" s="16">
        <v>31.5</v>
      </c>
      <c r="AH2" s="16">
        <v>32.5</v>
      </c>
      <c r="AI2" s="16">
        <v>33.5</v>
      </c>
      <c r="AJ2" s="16">
        <v>34.5</v>
      </c>
      <c r="AK2" s="16">
        <v>35.5</v>
      </c>
      <c r="AL2" s="16">
        <v>36.5</v>
      </c>
      <c r="AM2" s="16">
        <v>37.5</v>
      </c>
      <c r="AN2" s="16">
        <v>38.5</v>
      </c>
      <c r="AO2" s="16">
        <v>39.5</v>
      </c>
      <c r="AP2" s="16">
        <v>41</v>
      </c>
      <c r="AQ2" s="16">
        <v>43</v>
      </c>
      <c r="AR2" s="16">
        <v>45</v>
      </c>
      <c r="AS2" s="16">
        <v>47</v>
      </c>
      <c r="AT2" s="16">
        <v>49</v>
      </c>
      <c r="AU2" s="16">
        <v>51</v>
      </c>
      <c r="AV2" s="16">
        <v>53</v>
      </c>
      <c r="AW2" s="16">
        <v>55</v>
      </c>
      <c r="AX2" s="16">
        <v>57</v>
      </c>
      <c r="AY2" s="16">
        <v>59</v>
      </c>
      <c r="AZ2" s="16">
        <v>61</v>
      </c>
      <c r="BA2" s="16">
        <v>63</v>
      </c>
      <c r="BB2" s="16">
        <v>65</v>
      </c>
      <c r="BC2" s="16">
        <v>67</v>
      </c>
      <c r="BD2" s="16">
        <v>69</v>
      </c>
      <c r="BE2" s="16">
        <v>71</v>
      </c>
      <c r="BF2" s="16">
        <v>73</v>
      </c>
      <c r="BG2" s="16">
        <v>75</v>
      </c>
      <c r="BH2" s="16">
        <v>77</v>
      </c>
      <c r="BI2" s="16">
        <v>79</v>
      </c>
      <c r="BJ2" s="16">
        <v>81</v>
      </c>
      <c r="BK2" s="16">
        <v>83</v>
      </c>
      <c r="BL2" s="16">
        <v>85</v>
      </c>
      <c r="BM2" s="16">
        <v>87</v>
      </c>
      <c r="BN2" s="16">
        <v>89</v>
      </c>
      <c r="BO2" s="16">
        <v>91</v>
      </c>
      <c r="BP2" s="16">
        <v>93</v>
      </c>
      <c r="BQ2" s="16">
        <v>95</v>
      </c>
      <c r="BR2" s="16">
        <v>97</v>
      </c>
      <c r="BS2" s="16">
        <v>99</v>
      </c>
      <c r="BT2" s="16">
        <v>102.5</v>
      </c>
      <c r="BU2" s="16">
        <v>107.5</v>
      </c>
      <c r="BV2" s="16">
        <v>112.5</v>
      </c>
      <c r="BW2" s="16">
        <v>117.5</v>
      </c>
      <c r="BX2" s="16">
        <v>122.5</v>
      </c>
      <c r="BY2" s="16">
        <v>127.5</v>
      </c>
      <c r="BZ2" s="16">
        <v>132.5</v>
      </c>
      <c r="CA2" s="16"/>
      <c r="CB2" s="16"/>
      <c r="CC2" s="16"/>
      <c r="CD2" s="16"/>
      <c r="CE2" s="16"/>
      <c r="CF2" s="16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s="16" t="s">
        <v>78</v>
      </c>
      <c r="B3" s="16">
        <v>2</v>
      </c>
      <c r="C3" s="16">
        <v>1960</v>
      </c>
      <c r="D3" s="16">
        <v>1</v>
      </c>
      <c r="E3" s="16" t="s">
        <v>251</v>
      </c>
      <c r="F3" s="16">
        <v>4.6944099999999997E-9</v>
      </c>
      <c r="G3" s="16">
        <v>6.5025599999999999E-9</v>
      </c>
      <c r="H3" s="16">
        <v>1.0010199999999999E-8</v>
      </c>
      <c r="I3" s="16">
        <v>1.6744999999999999E-8</v>
      </c>
      <c r="J3" s="16">
        <v>2.9530500000000001E-8</v>
      </c>
      <c r="K3" s="16">
        <v>5.35177E-8</v>
      </c>
      <c r="L3" s="16">
        <v>9.7978500000000006E-8</v>
      </c>
      <c r="M3" s="16">
        <v>1.7938300000000001E-7</v>
      </c>
      <c r="N3" s="16">
        <v>3.26597E-7</v>
      </c>
      <c r="O3" s="16">
        <v>5.89541E-7</v>
      </c>
      <c r="P3" s="16">
        <v>1.05338E-6</v>
      </c>
      <c r="Q3" s="16">
        <v>1.86146E-6</v>
      </c>
      <c r="R3" s="16">
        <v>3.2517499999999998E-6</v>
      </c>
      <c r="S3" s="16">
        <v>5.6139700000000004E-6</v>
      </c>
      <c r="T3" s="16">
        <v>9.5774999999999994E-6</v>
      </c>
      <c r="U3" s="16">
        <v>1.6144700000000001E-5</v>
      </c>
      <c r="V3" s="16">
        <v>2.6889900000000002E-5</v>
      </c>
      <c r="W3" s="16">
        <v>4.4250199999999999E-5</v>
      </c>
      <c r="X3" s="16">
        <v>7.1945600000000005E-5</v>
      </c>
      <c r="Y3" s="16">
        <v>1.15572E-4</v>
      </c>
      <c r="Z3" s="16">
        <v>1.83425E-4</v>
      </c>
      <c r="AA3" s="16">
        <v>2.87621E-4</v>
      </c>
      <c r="AB3" s="16">
        <v>4.45594E-4</v>
      </c>
      <c r="AC3" s="16">
        <v>6.8204400000000003E-4</v>
      </c>
      <c r="AD3" s="16">
        <v>1.0314300000000001E-3</v>
      </c>
      <c r="AE3" s="16">
        <v>1.54108E-3</v>
      </c>
      <c r="AF3" s="16">
        <v>2.2748999999999998E-3</v>
      </c>
      <c r="AG3" s="16">
        <v>3.3178399999999999E-3</v>
      </c>
      <c r="AH3" s="16">
        <v>4.7808199999999999E-3</v>
      </c>
      <c r="AI3" s="16">
        <v>6.8062000000000001E-3</v>
      </c>
      <c r="AJ3" s="16">
        <v>9.5732899999999999E-3</v>
      </c>
      <c r="AK3" s="16">
        <v>1.33037E-2</v>
      </c>
      <c r="AL3" s="16">
        <v>1.8265799999999999E-2</v>
      </c>
      <c r="AM3" s="16">
        <v>2.47776E-2</v>
      </c>
      <c r="AN3" s="16">
        <v>3.3207399999999998E-2</v>
      </c>
      <c r="AO3" s="16">
        <v>4.3970799999999997E-2</v>
      </c>
      <c r="AP3" s="16">
        <v>6.54975E-2</v>
      </c>
      <c r="AQ3" s="16">
        <v>0.10681</v>
      </c>
      <c r="AR3" s="16">
        <v>0.165966</v>
      </c>
      <c r="AS3" s="16">
        <v>0.24572099999999999</v>
      </c>
      <c r="AT3" s="16">
        <v>0.34664600000000001</v>
      </c>
      <c r="AU3" s="16">
        <v>0.46595900000000001</v>
      </c>
      <c r="AV3" s="16">
        <v>0.59679899999999997</v>
      </c>
      <c r="AW3" s="16">
        <v>0.72832699999999995</v>
      </c>
      <c r="AX3" s="16">
        <v>0.84692199999999995</v>
      </c>
      <c r="AY3" s="16">
        <v>0.93838100000000002</v>
      </c>
      <c r="AZ3" s="16">
        <v>0.99068000000000001</v>
      </c>
      <c r="BA3" s="16">
        <v>0.99999300000000002</v>
      </c>
      <c r="BB3" s="16">
        <v>0.98412100000000002</v>
      </c>
      <c r="BC3" s="16">
        <v>0.92932700000000001</v>
      </c>
      <c r="BD3" s="16">
        <v>0.84182800000000002</v>
      </c>
      <c r="BE3" s="16">
        <v>0.73150000000000004</v>
      </c>
      <c r="BF3" s="16">
        <v>0.609734</v>
      </c>
      <c r="BG3" s="16">
        <v>0.48753000000000002</v>
      </c>
      <c r="BH3" s="16">
        <v>0.37393700000000002</v>
      </c>
      <c r="BI3" s="16">
        <v>0.27512500000000001</v>
      </c>
      <c r="BJ3" s="16">
        <v>0.19417699999999999</v>
      </c>
      <c r="BK3" s="16">
        <v>0.131462</v>
      </c>
      <c r="BL3" s="16">
        <v>8.5376499999999994E-2</v>
      </c>
      <c r="BM3" s="16">
        <v>5.31878E-2</v>
      </c>
      <c r="BN3" s="16">
        <v>3.1784899999999998E-2</v>
      </c>
      <c r="BO3" s="16">
        <v>1.8220699999999999E-2</v>
      </c>
      <c r="BP3" s="16">
        <v>1.0019500000000001E-2</v>
      </c>
      <c r="BQ3" s="16">
        <v>5.2851800000000004E-3</v>
      </c>
      <c r="BR3" s="16">
        <v>2.6743000000000001E-3</v>
      </c>
      <c r="BS3" s="16">
        <v>1.29806E-3</v>
      </c>
      <c r="BT3" s="16">
        <v>3.31498E-4</v>
      </c>
      <c r="BU3" s="16">
        <v>3.7814800000000003E-5</v>
      </c>
      <c r="BV3" s="16">
        <v>3.32867E-6</v>
      </c>
      <c r="BW3" s="16">
        <v>2.2849300000000001E-7</v>
      </c>
      <c r="BX3" s="16">
        <v>1.4666099999999999E-8</v>
      </c>
      <c r="BY3" s="16">
        <v>3.27592E-9</v>
      </c>
      <c r="BZ3" s="16">
        <v>2.7547499999999998E-9</v>
      </c>
      <c r="CA3" s="16"/>
      <c r="CB3" s="16"/>
      <c r="CC3" s="16"/>
      <c r="CD3" s="16"/>
      <c r="CE3" s="16"/>
      <c r="CF3" s="16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</row>
    <row r="4" spans="1:133" x14ac:dyDescent="0.25">
      <c r="A4" s="16" t="s">
        <v>78</v>
      </c>
      <c r="B4" s="16">
        <v>2</v>
      </c>
      <c r="C4" s="16">
        <v>2019</v>
      </c>
      <c r="D4" s="16">
        <v>1</v>
      </c>
      <c r="E4" s="16" t="s">
        <v>266</v>
      </c>
      <c r="F4" s="16">
        <v>4.6944099999999997E-9</v>
      </c>
      <c r="G4" s="16">
        <v>6.5025599999999999E-9</v>
      </c>
      <c r="H4" s="16">
        <v>1.0010199999999999E-8</v>
      </c>
      <c r="I4" s="16">
        <v>1.6744999999999999E-8</v>
      </c>
      <c r="J4" s="16">
        <v>2.9530500000000001E-8</v>
      </c>
      <c r="K4" s="16">
        <v>5.35177E-8</v>
      </c>
      <c r="L4" s="16">
        <v>9.7978500000000006E-8</v>
      </c>
      <c r="M4" s="16">
        <v>1.7938300000000001E-7</v>
      </c>
      <c r="N4" s="16">
        <v>3.26597E-7</v>
      </c>
      <c r="O4" s="16">
        <v>5.89541E-7</v>
      </c>
      <c r="P4" s="16">
        <v>1.05338E-6</v>
      </c>
      <c r="Q4" s="16">
        <v>1.86146E-6</v>
      </c>
      <c r="R4" s="16">
        <v>3.2517499999999998E-6</v>
      </c>
      <c r="S4" s="16">
        <v>5.6139700000000004E-6</v>
      </c>
      <c r="T4" s="16">
        <v>9.5774999999999994E-6</v>
      </c>
      <c r="U4" s="16">
        <v>1.6144700000000001E-5</v>
      </c>
      <c r="V4" s="16">
        <v>2.6889900000000002E-5</v>
      </c>
      <c r="W4" s="16">
        <v>4.4250199999999999E-5</v>
      </c>
      <c r="X4" s="16">
        <v>7.1945600000000005E-5</v>
      </c>
      <c r="Y4" s="16">
        <v>1.15572E-4</v>
      </c>
      <c r="Z4" s="16">
        <v>1.83425E-4</v>
      </c>
      <c r="AA4" s="16">
        <v>2.87621E-4</v>
      </c>
      <c r="AB4" s="16">
        <v>4.45594E-4</v>
      </c>
      <c r="AC4" s="16">
        <v>6.8204400000000003E-4</v>
      </c>
      <c r="AD4" s="16">
        <v>1.0314300000000001E-3</v>
      </c>
      <c r="AE4" s="16">
        <v>1.54108E-3</v>
      </c>
      <c r="AF4" s="16">
        <v>2.2748999999999998E-3</v>
      </c>
      <c r="AG4" s="16">
        <v>3.3178399999999999E-3</v>
      </c>
      <c r="AH4" s="16">
        <v>4.7808199999999999E-3</v>
      </c>
      <c r="AI4" s="16">
        <v>6.8062000000000001E-3</v>
      </c>
      <c r="AJ4" s="16">
        <v>9.5732899999999999E-3</v>
      </c>
      <c r="AK4" s="16">
        <v>1.33037E-2</v>
      </c>
      <c r="AL4" s="16">
        <v>1.8265799999999999E-2</v>
      </c>
      <c r="AM4" s="16">
        <v>2.47776E-2</v>
      </c>
      <c r="AN4" s="16">
        <v>3.3207399999999998E-2</v>
      </c>
      <c r="AO4" s="16">
        <v>4.3970799999999997E-2</v>
      </c>
      <c r="AP4" s="16">
        <v>6.54975E-2</v>
      </c>
      <c r="AQ4" s="16">
        <v>0.10681</v>
      </c>
      <c r="AR4" s="16">
        <v>0.165966</v>
      </c>
      <c r="AS4" s="16">
        <v>0.24572099999999999</v>
      </c>
      <c r="AT4" s="16">
        <v>0.34664600000000001</v>
      </c>
      <c r="AU4" s="16">
        <v>0.46595900000000001</v>
      </c>
      <c r="AV4" s="16">
        <v>0.59679899999999997</v>
      </c>
      <c r="AW4" s="16">
        <v>0.72832699999999995</v>
      </c>
      <c r="AX4" s="16">
        <v>0.84692199999999995</v>
      </c>
      <c r="AY4" s="16">
        <v>0.93838100000000002</v>
      </c>
      <c r="AZ4" s="16">
        <v>0.99068000000000001</v>
      </c>
      <c r="BA4" s="16">
        <v>0.99999800000000005</v>
      </c>
      <c r="BB4" s="16">
        <v>0.99673</v>
      </c>
      <c r="BC4" s="16">
        <v>0.98511300000000002</v>
      </c>
      <c r="BD4" s="16">
        <v>0.96537799999999996</v>
      </c>
      <c r="BE4" s="16">
        <v>0.93802099999999999</v>
      </c>
      <c r="BF4" s="16">
        <v>0.90371299999999999</v>
      </c>
      <c r="BG4" s="16">
        <v>0.86328000000000005</v>
      </c>
      <c r="BH4" s="16">
        <v>0.81766700000000003</v>
      </c>
      <c r="BI4" s="16">
        <v>0.767899</v>
      </c>
      <c r="BJ4" s="16">
        <v>0.71504800000000002</v>
      </c>
      <c r="BK4" s="16">
        <v>0.66019099999999997</v>
      </c>
      <c r="BL4" s="16">
        <v>0.604375</v>
      </c>
      <c r="BM4" s="16">
        <v>0.54858899999999999</v>
      </c>
      <c r="BN4" s="16">
        <v>0.493732</v>
      </c>
      <c r="BO4" s="16">
        <v>0.44059399999999999</v>
      </c>
      <c r="BP4" s="16">
        <v>0.38984200000000002</v>
      </c>
      <c r="BQ4" s="16">
        <v>0.34201199999999998</v>
      </c>
      <c r="BR4" s="16">
        <v>0.29750799999999999</v>
      </c>
      <c r="BS4" s="16">
        <v>0.25660100000000002</v>
      </c>
      <c r="BT4" s="16">
        <v>0.19406300000000001</v>
      </c>
      <c r="BU4" s="16">
        <v>0.12445000000000001</v>
      </c>
      <c r="BV4" s="16">
        <v>7.5673400000000002E-2</v>
      </c>
      <c r="BW4" s="16">
        <v>4.3630099999999998E-2</v>
      </c>
      <c r="BX4" s="16">
        <v>2.3852000000000002E-2</v>
      </c>
      <c r="BY4" s="16">
        <v>1.2364E-2</v>
      </c>
      <c r="BZ4" s="16">
        <v>6.0769600000000002E-3</v>
      </c>
      <c r="CA4" s="16"/>
      <c r="CB4" s="16"/>
      <c r="CC4" s="16"/>
      <c r="CD4" s="16"/>
      <c r="CE4" s="16"/>
      <c r="CF4" s="16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</row>
    <row r="5" spans="1:133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</row>
    <row r="6" spans="1:133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</row>
    <row r="7" spans="1:133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V7"/>
  <sheetViews>
    <sheetView workbookViewId="0"/>
  </sheetViews>
  <sheetFormatPr defaultRowHeight="15" x14ac:dyDescent="0.25"/>
  <sheetData>
    <row r="1" spans="1:48" s="16" customFormat="1" x14ac:dyDescent="0.25"/>
    <row r="2" spans="1:48" s="16" customFormat="1" x14ac:dyDescent="0.25"/>
    <row r="3" spans="1:48" s="16" customFormat="1" x14ac:dyDescent="0.25">
      <c r="A3" s="16">
        <v>2020</v>
      </c>
      <c r="B3" s="16" t="s">
        <v>124</v>
      </c>
      <c r="C3" s="16">
        <v>2019</v>
      </c>
      <c r="D3" s="16" t="s">
        <v>114</v>
      </c>
      <c r="E3" s="16" t="s">
        <v>246</v>
      </c>
      <c r="F3" s="16" t="s">
        <v>248</v>
      </c>
    </row>
    <row r="4" spans="1:48" s="16" customFormat="1" x14ac:dyDescent="0.25">
      <c r="A4" s="16" t="s">
        <v>79</v>
      </c>
      <c r="B4" s="16" t="s">
        <v>0</v>
      </c>
      <c r="C4" s="16" t="s">
        <v>2</v>
      </c>
      <c r="D4" s="16" t="s">
        <v>1</v>
      </c>
      <c r="E4" s="16" t="s">
        <v>177</v>
      </c>
      <c r="F4" s="16" t="s">
        <v>20</v>
      </c>
      <c r="G4" s="16" t="s">
        <v>176</v>
      </c>
      <c r="H4" s="16">
        <v>0</v>
      </c>
      <c r="I4" s="16">
        <v>1</v>
      </c>
      <c r="J4" s="16">
        <v>2</v>
      </c>
      <c r="K4" s="16">
        <v>3</v>
      </c>
      <c r="L4" s="16">
        <v>4</v>
      </c>
      <c r="M4" s="16">
        <v>5</v>
      </c>
      <c r="N4" s="16">
        <v>6</v>
      </c>
      <c r="O4" s="16">
        <v>7</v>
      </c>
      <c r="P4" s="16">
        <v>8</v>
      </c>
      <c r="Q4" s="16">
        <v>9</v>
      </c>
      <c r="R4" s="16">
        <v>10</v>
      </c>
      <c r="S4" s="16">
        <v>11</v>
      </c>
      <c r="T4" s="16">
        <v>12</v>
      </c>
      <c r="U4" s="16">
        <v>13</v>
      </c>
      <c r="V4" s="16">
        <v>14</v>
      </c>
      <c r="W4" s="16">
        <v>15</v>
      </c>
      <c r="X4" s="16">
        <v>16</v>
      </c>
      <c r="Y4" s="16">
        <v>17</v>
      </c>
      <c r="Z4" s="16">
        <v>18</v>
      </c>
      <c r="AA4" s="16">
        <v>19</v>
      </c>
      <c r="AB4" s="16">
        <v>20</v>
      </c>
      <c r="AC4" s="16">
        <v>21</v>
      </c>
      <c r="AD4" s="16">
        <v>22</v>
      </c>
      <c r="AE4" s="16">
        <v>23</v>
      </c>
      <c r="AF4" s="16">
        <v>24</v>
      </c>
      <c r="AG4" s="16">
        <v>25</v>
      </c>
      <c r="AH4" s="16">
        <v>26</v>
      </c>
      <c r="AI4" s="16">
        <v>27</v>
      </c>
      <c r="AJ4" s="16">
        <v>28</v>
      </c>
      <c r="AK4" s="16">
        <v>29</v>
      </c>
      <c r="AL4" s="16">
        <v>30</v>
      </c>
      <c r="AM4" s="16">
        <v>31</v>
      </c>
      <c r="AN4" s="16">
        <v>32</v>
      </c>
      <c r="AO4" s="16">
        <v>33</v>
      </c>
      <c r="AP4" s="16">
        <v>34</v>
      </c>
      <c r="AQ4" s="16">
        <v>35</v>
      </c>
      <c r="AR4" s="16">
        <v>36</v>
      </c>
      <c r="AS4" s="16">
        <v>37</v>
      </c>
      <c r="AT4" s="16">
        <v>38</v>
      </c>
      <c r="AU4" s="16">
        <v>39</v>
      </c>
      <c r="AV4" s="16">
        <v>40</v>
      </c>
    </row>
    <row r="5" spans="1:48" s="16" customFormat="1" x14ac:dyDescent="0.25">
      <c r="A5" s="16" t="s">
        <v>80</v>
      </c>
      <c r="B5" s="16">
        <v>1</v>
      </c>
      <c r="C5" s="16">
        <v>1968</v>
      </c>
      <c r="D5" s="16">
        <v>1</v>
      </c>
      <c r="E5" s="16">
        <v>1</v>
      </c>
      <c r="F5" s="16">
        <v>1</v>
      </c>
      <c r="G5" s="16" t="s">
        <v>253</v>
      </c>
      <c r="H5" s="16">
        <v>1</v>
      </c>
      <c r="I5" s="16">
        <v>1</v>
      </c>
      <c r="J5" s="16">
        <v>1</v>
      </c>
      <c r="K5" s="16">
        <v>1</v>
      </c>
      <c r="L5" s="16">
        <v>1</v>
      </c>
      <c r="M5" s="16">
        <v>1</v>
      </c>
      <c r="N5" s="16">
        <v>1</v>
      </c>
      <c r="O5" s="16">
        <v>1</v>
      </c>
      <c r="P5" s="16">
        <v>1</v>
      </c>
      <c r="Q5" s="16">
        <v>1</v>
      </c>
      <c r="R5" s="16">
        <v>1</v>
      </c>
      <c r="S5" s="16">
        <v>1</v>
      </c>
      <c r="T5" s="16">
        <v>1</v>
      </c>
      <c r="U5" s="16">
        <v>1</v>
      </c>
      <c r="V5" s="16">
        <v>1</v>
      </c>
      <c r="W5" s="16">
        <v>1</v>
      </c>
      <c r="X5" s="16">
        <v>1</v>
      </c>
      <c r="Y5" s="16">
        <v>1</v>
      </c>
      <c r="Z5" s="16">
        <v>1</v>
      </c>
      <c r="AA5" s="16">
        <v>1</v>
      </c>
      <c r="AB5" s="16">
        <v>1</v>
      </c>
      <c r="AC5" s="16">
        <v>1</v>
      </c>
      <c r="AD5" s="16">
        <v>1</v>
      </c>
      <c r="AE5" s="16">
        <v>1</v>
      </c>
      <c r="AF5" s="16">
        <v>1</v>
      </c>
      <c r="AG5" s="16">
        <v>1</v>
      </c>
      <c r="AH5" s="16">
        <v>1</v>
      </c>
      <c r="AI5" s="16">
        <v>1</v>
      </c>
      <c r="AJ5" s="16">
        <v>1</v>
      </c>
      <c r="AK5" s="16">
        <v>1</v>
      </c>
      <c r="AL5" s="16">
        <v>1</v>
      </c>
      <c r="AM5" s="16">
        <v>1</v>
      </c>
      <c r="AN5" s="16">
        <v>1</v>
      </c>
      <c r="AO5" s="16">
        <v>1</v>
      </c>
      <c r="AP5" s="16">
        <v>1</v>
      </c>
      <c r="AQ5" s="16">
        <v>1</v>
      </c>
      <c r="AR5" s="16">
        <v>1</v>
      </c>
      <c r="AS5" s="16">
        <v>1</v>
      </c>
      <c r="AT5" s="16">
        <v>1</v>
      </c>
      <c r="AU5" s="16">
        <v>1</v>
      </c>
      <c r="AV5" s="16">
        <v>1</v>
      </c>
    </row>
    <row r="6" spans="1:48" s="16" customFormat="1" x14ac:dyDescent="0.25">
      <c r="A6" s="16" t="s">
        <v>80</v>
      </c>
      <c r="B6" s="16">
        <v>1</v>
      </c>
      <c r="C6" s="16">
        <v>1968</v>
      </c>
      <c r="D6" s="16">
        <v>1</v>
      </c>
      <c r="E6" s="16">
        <v>2</v>
      </c>
      <c r="F6" s="16">
        <v>1</v>
      </c>
      <c r="G6" s="16" t="s">
        <v>253</v>
      </c>
      <c r="H6" s="16">
        <v>1</v>
      </c>
      <c r="I6" s="16">
        <v>1</v>
      </c>
      <c r="J6" s="16">
        <v>1</v>
      </c>
      <c r="K6" s="16">
        <v>1</v>
      </c>
      <c r="L6" s="16">
        <v>1</v>
      </c>
      <c r="M6" s="16">
        <v>1</v>
      </c>
      <c r="N6" s="16">
        <v>1</v>
      </c>
      <c r="O6" s="16">
        <v>1</v>
      </c>
      <c r="P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1</v>
      </c>
      <c r="V6" s="16">
        <v>1</v>
      </c>
      <c r="W6" s="16">
        <v>1</v>
      </c>
      <c r="X6" s="16">
        <v>1</v>
      </c>
      <c r="Y6" s="16">
        <v>1</v>
      </c>
      <c r="Z6" s="16">
        <v>1</v>
      </c>
      <c r="AA6" s="16">
        <v>1</v>
      </c>
      <c r="AB6" s="16">
        <v>1</v>
      </c>
      <c r="AC6" s="16">
        <v>1</v>
      </c>
      <c r="AD6" s="16">
        <v>1</v>
      </c>
      <c r="AE6" s="16">
        <v>1</v>
      </c>
      <c r="AF6" s="16">
        <v>1</v>
      </c>
      <c r="AG6" s="16">
        <v>1</v>
      </c>
      <c r="AH6" s="16">
        <v>1</v>
      </c>
      <c r="AI6" s="16">
        <v>1</v>
      </c>
      <c r="AJ6" s="16">
        <v>1</v>
      </c>
      <c r="AK6" s="16">
        <v>1</v>
      </c>
      <c r="AL6" s="16">
        <v>1</v>
      </c>
      <c r="AM6" s="16">
        <v>1</v>
      </c>
      <c r="AN6" s="16">
        <v>1</v>
      </c>
      <c r="AO6" s="16">
        <v>1</v>
      </c>
      <c r="AP6" s="16">
        <v>1</v>
      </c>
      <c r="AQ6" s="16">
        <v>1</v>
      </c>
      <c r="AR6" s="16">
        <v>1</v>
      </c>
      <c r="AS6" s="16">
        <v>1</v>
      </c>
      <c r="AT6" s="16">
        <v>1</v>
      </c>
      <c r="AU6" s="16">
        <v>1</v>
      </c>
      <c r="AV6" s="16">
        <v>1</v>
      </c>
    </row>
    <row r="7" spans="1:48" s="16" customFormat="1" x14ac:dyDescent="0.25">
      <c r="A7" s="16" t="s">
        <v>80</v>
      </c>
      <c r="B7" s="16">
        <v>1</v>
      </c>
      <c r="C7" s="16">
        <v>1971</v>
      </c>
      <c r="D7" s="16">
        <v>1</v>
      </c>
      <c r="E7" s="16">
        <v>1</v>
      </c>
      <c r="F7" s="16">
        <v>1</v>
      </c>
      <c r="G7" s="16" t="s">
        <v>262</v>
      </c>
      <c r="H7" s="16">
        <v>1</v>
      </c>
      <c r="I7" s="16">
        <v>1</v>
      </c>
      <c r="J7" s="16">
        <v>1</v>
      </c>
      <c r="K7" s="16">
        <v>1</v>
      </c>
      <c r="L7" s="16">
        <v>1</v>
      </c>
      <c r="M7" s="16">
        <v>1</v>
      </c>
      <c r="N7" s="16">
        <v>1</v>
      </c>
      <c r="O7" s="16">
        <v>1</v>
      </c>
      <c r="P7" s="16">
        <v>1</v>
      </c>
      <c r="Q7" s="16">
        <v>1</v>
      </c>
      <c r="R7" s="16">
        <v>1</v>
      </c>
      <c r="S7" s="16">
        <v>1</v>
      </c>
      <c r="T7" s="16">
        <v>1</v>
      </c>
      <c r="U7" s="16">
        <v>1</v>
      </c>
      <c r="V7" s="16">
        <v>1</v>
      </c>
      <c r="W7" s="16">
        <v>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>
        <v>1</v>
      </c>
      <c r="AD7" s="16">
        <v>1</v>
      </c>
      <c r="AE7" s="16">
        <v>1</v>
      </c>
      <c r="AF7" s="16">
        <v>1</v>
      </c>
      <c r="AG7" s="16">
        <v>1</v>
      </c>
      <c r="AH7" s="16">
        <v>1</v>
      </c>
      <c r="AI7" s="16">
        <v>1</v>
      </c>
      <c r="AJ7" s="16">
        <v>1</v>
      </c>
      <c r="AK7" s="16">
        <v>1</v>
      </c>
      <c r="AL7" s="16">
        <v>1</v>
      </c>
      <c r="AM7" s="16">
        <v>1</v>
      </c>
      <c r="AN7" s="16">
        <v>1</v>
      </c>
      <c r="AO7" s="16">
        <v>1</v>
      </c>
      <c r="AP7" s="16">
        <v>1</v>
      </c>
      <c r="AQ7" s="16">
        <v>1</v>
      </c>
      <c r="AR7" s="16">
        <v>1</v>
      </c>
      <c r="AS7" s="16">
        <v>1</v>
      </c>
      <c r="AT7" s="16">
        <v>1</v>
      </c>
      <c r="AU7" s="16">
        <v>1</v>
      </c>
      <c r="AV7" s="16">
        <v>1</v>
      </c>
    </row>
  </sheetData>
  <hyperlinks>
    <hyperlink ref="J1" location="Main_List" display="Return to Main"/>
    <hyperlink ref="J2" location="Main_List" display="Return to Mai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ew_AgeSelex_Data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8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7"/>
  <sheetViews>
    <sheetView workbookViewId="0"/>
  </sheetViews>
  <sheetFormatPr defaultRowHeight="15" x14ac:dyDescent="0.25"/>
  <sheetData>
    <row r="1" spans="1:38" ht="177" customHeight="1" x14ac:dyDescent="0.25">
      <c r="K1" s="15"/>
    </row>
    <row r="2" spans="1:38" x14ac:dyDescent="0.25">
      <c r="A2" s="16" t="s">
        <v>79</v>
      </c>
      <c r="B2" s="16" t="s">
        <v>0</v>
      </c>
      <c r="C2" s="16" t="s">
        <v>2</v>
      </c>
      <c r="D2" s="16" t="s">
        <v>1</v>
      </c>
      <c r="E2" s="16" t="s">
        <v>177</v>
      </c>
      <c r="F2" s="16" t="s">
        <v>20</v>
      </c>
      <c r="G2" s="16" t="s">
        <v>176</v>
      </c>
      <c r="H2" s="16">
        <v>0</v>
      </c>
      <c r="I2" s="16">
        <v>1</v>
      </c>
      <c r="J2" s="16">
        <v>2</v>
      </c>
      <c r="K2" s="16">
        <v>3</v>
      </c>
      <c r="L2" s="16">
        <v>4</v>
      </c>
      <c r="M2" s="16">
        <v>5</v>
      </c>
      <c r="N2" s="16">
        <v>6</v>
      </c>
      <c r="O2" s="16">
        <v>7</v>
      </c>
      <c r="P2" s="16">
        <v>8</v>
      </c>
      <c r="Q2" s="16">
        <v>9</v>
      </c>
      <c r="R2" s="16">
        <v>10</v>
      </c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</row>
    <row r="3" spans="1:38" x14ac:dyDescent="0.25">
      <c r="A3" s="16" t="s">
        <v>80</v>
      </c>
      <c r="B3" s="16">
        <v>1</v>
      </c>
      <c r="C3" s="16">
        <v>1968</v>
      </c>
      <c r="D3" s="16">
        <v>1</v>
      </c>
      <c r="E3" s="16">
        <v>1</v>
      </c>
      <c r="F3" s="16">
        <v>1</v>
      </c>
      <c r="G3" s="16" t="s">
        <v>253</v>
      </c>
      <c r="H3" s="16">
        <v>2.6431499999999999E-3</v>
      </c>
      <c r="I3" s="16">
        <v>0.256803</v>
      </c>
      <c r="J3" s="16">
        <v>1</v>
      </c>
      <c r="K3" s="16">
        <v>0.87646500000000005</v>
      </c>
      <c r="L3" s="16">
        <v>0.43300100000000002</v>
      </c>
      <c r="M3" s="16">
        <v>0.223722</v>
      </c>
      <c r="N3" s="16">
        <v>0.223722</v>
      </c>
      <c r="O3" s="16">
        <v>0.223722</v>
      </c>
      <c r="P3" s="16">
        <v>0.223722</v>
      </c>
      <c r="Q3" s="16">
        <v>0.223722</v>
      </c>
      <c r="R3" s="16">
        <v>0.223722</v>
      </c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</row>
    <row r="4" spans="1:38" x14ac:dyDescent="0.25">
      <c r="A4" s="16" t="s">
        <v>80</v>
      </c>
      <c r="B4" s="16">
        <v>2</v>
      </c>
      <c r="C4" s="16">
        <v>1968</v>
      </c>
      <c r="D4" s="16">
        <v>1</v>
      </c>
      <c r="E4" s="16">
        <v>1</v>
      </c>
      <c r="F4" s="16">
        <v>1</v>
      </c>
      <c r="G4" s="16" t="s">
        <v>254</v>
      </c>
      <c r="H4" s="16">
        <v>4.1819500000000003E-2</v>
      </c>
      <c r="I4" s="16">
        <v>0.113677</v>
      </c>
      <c r="J4" s="16">
        <v>1</v>
      </c>
      <c r="K4" s="16">
        <v>0.54336099999999998</v>
      </c>
      <c r="L4" s="16">
        <v>0.17843500000000001</v>
      </c>
      <c r="M4" s="16">
        <v>0.13073799999999999</v>
      </c>
      <c r="N4" s="16">
        <v>0.13073799999999999</v>
      </c>
      <c r="O4" s="16">
        <v>0.13073799999999999</v>
      </c>
      <c r="P4" s="16">
        <v>0.13073799999999999</v>
      </c>
      <c r="Q4" s="16">
        <v>0.13073799999999999</v>
      </c>
      <c r="R4" s="16">
        <v>0.13073799999999999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</row>
    <row r="5" spans="1:38" x14ac:dyDescent="0.25">
      <c r="A5" s="16" t="s">
        <v>80</v>
      </c>
      <c r="B5" s="16">
        <v>3</v>
      </c>
      <c r="C5" s="16">
        <v>1968</v>
      </c>
      <c r="D5" s="16">
        <v>1</v>
      </c>
      <c r="E5" s="16">
        <v>1</v>
      </c>
      <c r="F5" s="16">
        <v>1</v>
      </c>
      <c r="G5" s="16" t="s">
        <v>255</v>
      </c>
      <c r="H5" s="16">
        <v>0.243141</v>
      </c>
      <c r="I5" s="16">
        <v>1</v>
      </c>
      <c r="J5" s="16">
        <v>0.60825099999999999</v>
      </c>
      <c r="K5" s="16">
        <v>0.36146499999999998</v>
      </c>
      <c r="L5" s="16">
        <v>0.246977</v>
      </c>
      <c r="M5" s="16">
        <v>8.1202200000000002E-2</v>
      </c>
      <c r="N5" s="16">
        <v>4.92516E-2</v>
      </c>
      <c r="O5" s="16">
        <v>4.92516E-2</v>
      </c>
      <c r="P5" s="16">
        <v>4.92516E-2</v>
      </c>
      <c r="Q5" s="16">
        <v>4.92516E-2</v>
      </c>
      <c r="R5" s="16">
        <v>4.92516E-2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</row>
    <row r="6" spans="1:38" x14ac:dyDescent="0.25">
      <c r="A6" s="16" t="s">
        <v>80</v>
      </c>
      <c r="B6" s="16">
        <v>4</v>
      </c>
      <c r="C6" s="16">
        <v>1968</v>
      </c>
      <c r="D6" s="16">
        <v>1</v>
      </c>
      <c r="E6" s="16">
        <v>1</v>
      </c>
      <c r="F6" s="16">
        <v>1</v>
      </c>
      <c r="G6" s="16" t="s">
        <v>256</v>
      </c>
      <c r="H6" s="16">
        <v>2.3734899999999998E-9</v>
      </c>
      <c r="I6" s="16">
        <v>7.7589699999999996E-3</v>
      </c>
      <c r="J6" s="16">
        <v>0.143931</v>
      </c>
      <c r="K6" s="16">
        <v>1</v>
      </c>
      <c r="L6" s="16">
        <v>0.52554100000000004</v>
      </c>
      <c r="M6" s="16">
        <v>0.31875700000000001</v>
      </c>
      <c r="N6" s="16">
        <v>0.19333600000000001</v>
      </c>
      <c r="O6" s="16">
        <v>0.19333600000000001</v>
      </c>
      <c r="P6" s="16">
        <v>0.19333600000000001</v>
      </c>
      <c r="Q6" s="16">
        <v>0.19333600000000001</v>
      </c>
      <c r="R6" s="16">
        <v>0.19333600000000001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</row>
    <row r="7" spans="1:3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7"/>
  <sheetViews>
    <sheetView workbookViewId="0"/>
  </sheetViews>
  <sheetFormatPr defaultRowHeight="15" x14ac:dyDescent="0.25"/>
  <sheetData>
    <row r="1" spans="1:19" ht="279.75" customHeight="1" x14ac:dyDescent="0.25">
      <c r="L1" s="15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P3" s="6" t="e">
        <f>IF(M3&lt;0,-G3,#N/A)</f>
        <v>#N/A</v>
      </c>
      <c r="Q3" s="6">
        <f>IF(M3&gt;=0,G3,#N/A)</f>
        <v>0</v>
      </c>
      <c r="R3" s="6" t="e">
        <f>IF(M3&gt;0,G3-1.96*G3*H3,#N/A)</f>
        <v>#N/A</v>
      </c>
      <c r="S3" s="6" t="e">
        <f>IF(M3&gt;0,G3+1.96*G3*H3,#N/A)</f>
        <v>#N/A</v>
      </c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P4" s="5" t="s">
        <v>87</v>
      </c>
      <c r="Q4" s="5" t="s">
        <v>60</v>
      </c>
      <c r="R4" s="1" t="s">
        <v>85</v>
      </c>
      <c r="S4" s="1" t="s">
        <v>86</v>
      </c>
    </row>
    <row r="5" spans="1:19" x14ac:dyDescent="0.25">
      <c r="A5" s="16" t="s">
        <v>237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P5" s="6" t="e">
        <f>IF(M5&lt;0,-G5,#N/A)</f>
        <v>#N/A</v>
      </c>
      <c r="Q5" s="6">
        <f>IF(M5&gt;=0,G5,#N/A)</f>
        <v>0</v>
      </c>
      <c r="R5" s="6" t="e">
        <f>IF(M5&gt;0,G5-1.96*G5*H5,#N/A)</f>
        <v>#N/A</v>
      </c>
      <c r="S5" s="6" t="e">
        <f>IF(M5&gt;0,G5+1.96*G5*H5,#N/A)</f>
        <v>#N/A</v>
      </c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P6" s="6"/>
      <c r="Q6" s="6"/>
      <c r="R6" s="6"/>
      <c r="S6" s="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P7" s="6"/>
      <c r="Q7" s="6"/>
      <c r="R7" s="6"/>
      <c r="S7" s="6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U7"/>
  <sheetViews>
    <sheetView workbookViewId="0"/>
  </sheetViews>
  <sheetFormatPr defaultRowHeight="15" x14ac:dyDescent="0.25"/>
  <sheetData>
    <row r="1" spans="1:307" ht="259.5" customHeight="1" x14ac:dyDescent="0.25">
      <c r="Q1" s="15"/>
    </row>
    <row r="3" spans="1:307" x14ac:dyDescent="0.25">
      <c r="B3" s="8" t="s">
        <v>121</v>
      </c>
      <c r="C3" s="10">
        <v>4</v>
      </c>
    </row>
    <row r="4" spans="1:307" x14ac:dyDescent="0.25">
      <c r="B4" s="8" t="s">
        <v>122</v>
      </c>
      <c r="C4" s="10">
        <v>9</v>
      </c>
    </row>
    <row r="5" spans="1:307" ht="15.75" thickBot="1" x14ac:dyDescent="0.3">
      <c r="A5" s="12" t="s">
        <v>118</v>
      </c>
      <c r="B5" s="12" t="s">
        <v>120</v>
      </c>
      <c r="C5" s="12" t="s">
        <v>119</v>
      </c>
      <c r="D5" s="16" t="s">
        <v>26</v>
      </c>
      <c r="E5" s="16" t="s">
        <v>177</v>
      </c>
      <c r="F5" s="16" t="s">
        <v>2</v>
      </c>
      <c r="G5" s="16">
        <v>0</v>
      </c>
      <c r="H5" s="16">
        <v>1</v>
      </c>
      <c r="I5" s="16">
        <v>2</v>
      </c>
      <c r="J5" s="16">
        <v>3</v>
      </c>
      <c r="K5" s="16">
        <v>4</v>
      </c>
      <c r="L5" s="16">
        <v>5</v>
      </c>
      <c r="M5" s="16">
        <v>6</v>
      </c>
      <c r="N5" s="16">
        <v>7</v>
      </c>
      <c r="O5" s="16">
        <v>8</v>
      </c>
      <c r="P5" s="16">
        <v>9</v>
      </c>
      <c r="Q5" s="16">
        <v>10</v>
      </c>
      <c r="R5" s="16">
        <v>11</v>
      </c>
      <c r="S5" s="16">
        <v>12</v>
      </c>
      <c r="T5" s="16">
        <v>13</v>
      </c>
      <c r="U5" s="16">
        <v>14</v>
      </c>
      <c r="V5" s="16">
        <v>15</v>
      </c>
      <c r="W5" s="16">
        <v>16</v>
      </c>
      <c r="X5" s="16">
        <v>17</v>
      </c>
      <c r="Y5" s="16">
        <v>18</v>
      </c>
      <c r="Z5" s="16">
        <v>19</v>
      </c>
      <c r="AA5" s="16">
        <v>20</v>
      </c>
      <c r="AB5" s="16">
        <v>21</v>
      </c>
      <c r="AC5" s="16">
        <v>22</v>
      </c>
      <c r="AD5" s="16">
        <v>23</v>
      </c>
      <c r="AE5" s="16">
        <v>24</v>
      </c>
      <c r="AF5" s="16">
        <v>25</v>
      </c>
      <c r="AG5" s="16">
        <v>26</v>
      </c>
      <c r="AH5" s="16">
        <v>27</v>
      </c>
      <c r="AI5" s="16">
        <v>28</v>
      </c>
      <c r="AJ5" s="16">
        <v>29</v>
      </c>
      <c r="AK5" s="16">
        <v>30</v>
      </c>
      <c r="AL5" s="16">
        <v>31</v>
      </c>
      <c r="AM5" s="16">
        <v>32</v>
      </c>
      <c r="AN5" s="16">
        <v>33</v>
      </c>
      <c r="AO5" s="16">
        <v>34</v>
      </c>
      <c r="AP5" s="16">
        <v>35</v>
      </c>
      <c r="AQ5" s="16">
        <v>36</v>
      </c>
      <c r="AR5" s="16">
        <v>37</v>
      </c>
      <c r="AS5" s="16">
        <v>38</v>
      </c>
      <c r="AT5" s="16">
        <v>39</v>
      </c>
      <c r="AU5" s="16">
        <v>40</v>
      </c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</row>
    <row r="6" spans="1:307" x14ac:dyDescent="0.25">
      <c r="A6" s="11">
        <v>0.18984799999999999</v>
      </c>
      <c r="B6" s="9">
        <v>5</v>
      </c>
      <c r="C6" s="11">
        <v>0.16844583333333332</v>
      </c>
      <c r="D6" s="16">
        <v>1</v>
      </c>
      <c r="E6" s="16">
        <v>1</v>
      </c>
      <c r="F6" s="16">
        <v>1971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  <c r="AN6" s="16">
        <v>0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 t="s">
        <v>89</v>
      </c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</row>
    <row r="7" spans="1:307" x14ac:dyDescent="0.25">
      <c r="A7" s="11">
        <v>0.239395</v>
      </c>
      <c r="B7" s="9">
        <v>5</v>
      </c>
      <c r="C7" s="11">
        <v>0.21240699999999998</v>
      </c>
      <c r="D7" s="16">
        <v>1</v>
      </c>
      <c r="E7" s="16">
        <v>1</v>
      </c>
      <c r="F7" s="16">
        <v>1972</v>
      </c>
      <c r="G7" s="16">
        <v>2.6999999999999247E-5</v>
      </c>
      <c r="H7" s="16">
        <v>7.699999999999374E-5</v>
      </c>
      <c r="I7" s="16">
        <v>1.789999999999986E-4</v>
      </c>
      <c r="J7" s="16">
        <v>3.4800000000000109E-4</v>
      </c>
      <c r="K7" s="16">
        <v>5.6900000000000006E-4</v>
      </c>
      <c r="L7" s="16">
        <v>8.0600000000000116E-4</v>
      </c>
      <c r="M7" s="16">
        <v>1.0280000000000011E-3</v>
      </c>
      <c r="N7" s="16">
        <v>1.2169999999999959E-3</v>
      </c>
      <c r="O7" s="16">
        <v>1.3699999999999962E-3</v>
      </c>
      <c r="P7" s="16">
        <v>1.4899999999999913E-3</v>
      </c>
      <c r="Q7" s="16">
        <v>1.5830000000000011E-3</v>
      </c>
      <c r="R7" s="16">
        <v>1.6559999999999908E-3</v>
      </c>
      <c r="S7" s="16">
        <v>1.7119999999999913E-3</v>
      </c>
      <c r="T7" s="16">
        <v>1.7559999999999937E-3</v>
      </c>
      <c r="U7" s="16">
        <v>1.7910000000000009E-3</v>
      </c>
      <c r="V7" s="16">
        <v>1.8190000000000012E-3</v>
      </c>
      <c r="W7" s="16">
        <v>1.8409999999999954E-3</v>
      </c>
      <c r="X7" s="16">
        <v>1.8589999999999995E-3</v>
      </c>
      <c r="Y7" s="16">
        <v>1.8740000000000007E-3</v>
      </c>
      <c r="Z7" s="16">
        <v>1.8859999999999988E-3</v>
      </c>
      <c r="AA7" s="16">
        <v>1.8959999999999949E-3</v>
      </c>
      <c r="AB7" s="16">
        <v>1.90499999999999E-3</v>
      </c>
      <c r="AC7" s="16">
        <v>1.911999999999997E-3</v>
      </c>
      <c r="AD7" s="16">
        <v>1.9169999999999882E-3</v>
      </c>
      <c r="AE7" s="16">
        <v>1.9219999999999932E-3</v>
      </c>
      <c r="AF7" s="16">
        <v>1.9259999999999972E-3</v>
      </c>
      <c r="AG7" s="16">
        <v>1.9300000000000012E-3</v>
      </c>
      <c r="AH7" s="16">
        <v>1.9329999999999903E-3</v>
      </c>
      <c r="AI7" s="16">
        <v>1.9359999999999933E-3</v>
      </c>
      <c r="AJ7" s="16">
        <v>1.9379999999999953E-3</v>
      </c>
      <c r="AK7" s="16">
        <v>1.9399999999999973E-3</v>
      </c>
      <c r="AL7" s="16">
        <v>1.9409999999999983E-3</v>
      </c>
      <c r="AM7" s="16">
        <v>1.9419999999999993E-3</v>
      </c>
      <c r="AN7" s="16">
        <v>1.9440000000000013E-3</v>
      </c>
      <c r="AO7" s="16">
        <v>1.9449999999999884E-3</v>
      </c>
      <c r="AP7" s="16">
        <v>1.9459999999999894E-3</v>
      </c>
      <c r="AQ7" s="16">
        <v>1.9459999999999894E-3</v>
      </c>
      <c r="AR7" s="16">
        <v>1.9469999999999904E-3</v>
      </c>
      <c r="AS7" s="16">
        <v>1.9469999999999904E-3</v>
      </c>
      <c r="AT7" s="16">
        <v>1.9489999999999924E-3</v>
      </c>
      <c r="AU7" s="16" t="s">
        <v>89</v>
      </c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al_F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62</vt:i4>
      </vt:variant>
    </vt:vector>
  </HeadingPairs>
  <TitlesOfParts>
    <vt:vector size="79" baseType="lpstr">
      <vt:lpstr>CompReport_SSO</vt:lpstr>
      <vt:lpstr>REPORT_SSO</vt:lpstr>
      <vt:lpstr>Main</vt:lpstr>
      <vt:lpstr>SRR</vt:lpstr>
      <vt:lpstr>SURVEY</vt:lpstr>
      <vt:lpstr>Discard</vt:lpstr>
      <vt:lpstr>StdErr</vt:lpstr>
      <vt:lpstr>Time_Series</vt:lpstr>
      <vt:lpstr>Annual</vt:lpstr>
      <vt:lpstr>Comp_Disp</vt:lpstr>
      <vt:lpstr>BIO</vt:lpstr>
      <vt:lpstr>Len_Sel_A</vt:lpstr>
      <vt:lpstr>Len_Sel_D</vt:lpstr>
      <vt:lpstr>Age_Sel_A</vt:lpstr>
      <vt:lpstr>Age_Sel_D</vt:lpstr>
      <vt:lpstr>BODYWT</vt:lpstr>
      <vt:lpstr>Annual_F</vt:lpstr>
      <vt:lpstr>BIO!ACV_Mid</vt:lpstr>
      <vt:lpstr>BIO!Age_Beg</vt:lpstr>
      <vt:lpstr>BIO!Age_Mid</vt:lpstr>
      <vt:lpstr>AgeSelex_Raw</vt:lpstr>
      <vt:lpstr>Annual_F!Apical_F</vt:lpstr>
      <vt:lpstr>Annual_F!Ave_F</vt:lpstr>
      <vt:lpstr>Comp_Disp!Bin</vt:lpstr>
      <vt:lpstr>Annual!Bio_smry</vt:lpstr>
      <vt:lpstr>Time_Series!Bio_smry</vt:lpstr>
      <vt:lpstr>CompReport_SSO!CompReport</vt:lpstr>
      <vt:lpstr>Comp_Disp!Cum_exp</vt:lpstr>
      <vt:lpstr>Comp_Disp!Cum_obs</vt:lpstr>
      <vt:lpstr>Annual!Dead_Catch</vt:lpstr>
      <vt:lpstr>BODYWT!delete_OBS</vt:lpstr>
      <vt:lpstr>Discard!delete_OBS</vt:lpstr>
      <vt:lpstr>SURVEY!delete_OBS</vt:lpstr>
      <vt:lpstr>SURVEY!Eff_Q</vt:lpstr>
      <vt:lpstr>BODYWT!Exp</vt:lpstr>
      <vt:lpstr>Comp_Disp!Exp</vt:lpstr>
      <vt:lpstr>Discard!Exp</vt:lpstr>
      <vt:lpstr>SURVEY!Exp</vt:lpstr>
      <vt:lpstr>Annual!F_std</vt:lpstr>
      <vt:lpstr>BIO!Len_Beg</vt:lpstr>
      <vt:lpstr>BIO!Len_Mid</vt:lpstr>
      <vt:lpstr>LenSelexArea</vt:lpstr>
      <vt:lpstr>Comp_Disp!Like</vt:lpstr>
      <vt:lpstr>Main_List</vt:lpstr>
      <vt:lpstr>BIO!Mat_Fec</vt:lpstr>
      <vt:lpstr>BODYWT!OBS</vt:lpstr>
      <vt:lpstr>Comp_Disp!Obs</vt:lpstr>
      <vt:lpstr>Discard!OBS</vt:lpstr>
      <vt:lpstr>SURVEY!OBS</vt:lpstr>
      <vt:lpstr>Comp_Disp!Pearson</vt:lpstr>
      <vt:lpstr>put_agecomp</vt:lpstr>
      <vt:lpstr>put_ageselex</vt:lpstr>
      <vt:lpstr>Put_Annual</vt:lpstr>
      <vt:lpstr>put_biology</vt:lpstr>
      <vt:lpstr>put_selex</vt:lpstr>
      <vt:lpstr>put_survey</vt:lpstr>
      <vt:lpstr>Time_Series!Recruit_0</vt:lpstr>
      <vt:lpstr>Annual!Recruits</vt:lpstr>
      <vt:lpstr>REPORT_SSO!Report_1</vt:lpstr>
      <vt:lpstr>BIO!SD_Beg</vt:lpstr>
      <vt:lpstr>BIO!SD_Mid</vt:lpstr>
      <vt:lpstr>BODYWT!se2_hi</vt:lpstr>
      <vt:lpstr>Discard!se2_hi</vt:lpstr>
      <vt:lpstr>SURVEY!se2_hi</vt:lpstr>
      <vt:lpstr>BODYWT!se2_low</vt:lpstr>
      <vt:lpstr>Discard!se2_low</vt:lpstr>
      <vt:lpstr>SURVEY!se2_low</vt:lpstr>
      <vt:lpstr>Time_Series!SpawnBio</vt:lpstr>
      <vt:lpstr>Annual!SPB</vt:lpstr>
      <vt:lpstr>Annual!SPR_std</vt:lpstr>
      <vt:lpstr>Comp_Disp!Time</vt:lpstr>
      <vt:lpstr>BIO!Wt_Beg</vt:lpstr>
      <vt:lpstr>Annual!Year</vt:lpstr>
      <vt:lpstr>Annual_F!Year</vt:lpstr>
      <vt:lpstr>BODYWT!Yr</vt:lpstr>
      <vt:lpstr>Comp_Disp!Yr</vt:lpstr>
      <vt:lpstr>Discard!Yr</vt:lpstr>
      <vt:lpstr>SURVEY!Yr</vt:lpstr>
      <vt:lpstr>Time_Series!Yr</vt:lpstr>
    </vt:vector>
  </TitlesOfParts>
  <Company>NOAA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Richard.Methot</cp:lastModifiedBy>
  <dcterms:created xsi:type="dcterms:W3CDTF">2009-04-27T16:07:19Z</dcterms:created>
  <dcterms:modified xsi:type="dcterms:W3CDTF">2022-02-04T22:04:56Z</dcterms:modified>
</cp:coreProperties>
</file>